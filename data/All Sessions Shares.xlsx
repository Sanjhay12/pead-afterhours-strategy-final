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3a9278f9ac93e0/Desktop/"/>
    </mc:Choice>
  </mc:AlternateContent>
  <xr:revisionPtr revIDLastSave="4" documentId="13_ncr:1_{108EEC0E-8343-4D18-B937-D5EE4931A8EC}" xr6:coauthVersionLast="47" xr6:coauthVersionMax="47" xr10:uidLastSave="{69B7B285-4D1D-4E97-8650-4D984D33E1DC}"/>
  <bookViews>
    <workbookView xWindow="-96" yWindow="0" windowWidth="15552" windowHeight="16656" activeTab="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89" i="1"/>
  <c r="B96" i="1"/>
  <c r="B59" i="1"/>
  <c r="B4" i="1"/>
  <c r="B87" i="1"/>
  <c r="B70" i="1"/>
  <c r="B73" i="1"/>
  <c r="B12" i="1"/>
  <c r="B37" i="1"/>
  <c r="B74" i="1"/>
  <c r="B79" i="1"/>
  <c r="B55" i="1"/>
  <c r="B75" i="1"/>
  <c r="B39" i="1"/>
  <c r="B69" i="1"/>
  <c r="B56" i="1"/>
  <c r="B28" i="1"/>
  <c r="B44" i="1"/>
  <c r="B98" i="1"/>
  <c r="B76" i="1"/>
  <c r="B80" i="1"/>
  <c r="B81" i="1"/>
  <c r="B60" i="1"/>
  <c r="B61" i="1"/>
  <c r="B2" i="1"/>
  <c r="B5" i="1"/>
  <c r="B26" i="1"/>
  <c r="B23" i="1"/>
  <c r="B82" i="1"/>
  <c r="B63" i="1"/>
  <c r="B93" i="1"/>
  <c r="B13" i="1"/>
  <c r="B49" i="1"/>
  <c r="B6" i="1"/>
  <c r="B47" i="1"/>
  <c r="B94" i="1"/>
  <c r="B64" i="1"/>
  <c r="B14" i="1"/>
  <c r="B46" i="1"/>
  <c r="B71" i="1"/>
  <c r="B33" i="1"/>
  <c r="B32" i="1"/>
  <c r="B38" i="1"/>
  <c r="B50" i="1"/>
  <c r="B53" i="1"/>
  <c r="B15" i="1"/>
  <c r="B72" i="1"/>
  <c r="B16" i="1"/>
  <c r="B51" i="1"/>
  <c r="B45" i="1"/>
  <c r="B30" i="1"/>
  <c r="B43" i="1"/>
  <c r="B90" i="1"/>
  <c r="B35" i="1"/>
  <c r="B17" i="1"/>
  <c r="B54" i="1"/>
  <c r="B27" i="1"/>
  <c r="B65" i="1"/>
  <c r="B29" i="1"/>
  <c r="B48" i="1"/>
  <c r="B77" i="1"/>
  <c r="B57" i="1"/>
  <c r="B85" i="1"/>
  <c r="B91" i="1"/>
  <c r="B83" i="1"/>
  <c r="B68" i="1"/>
  <c r="B21" i="1"/>
  <c r="B40" i="1"/>
  <c r="B7" i="1"/>
  <c r="B24" i="1"/>
  <c r="B42" i="1"/>
  <c r="B58" i="1"/>
  <c r="B78" i="1"/>
  <c r="B18" i="1"/>
  <c r="B41" i="1"/>
  <c r="B84" i="1"/>
  <c r="B86" i="1"/>
  <c r="B95" i="1"/>
  <c r="B97" i="1"/>
  <c r="B100" i="1"/>
  <c r="B66" i="1"/>
  <c r="B8" i="1"/>
  <c r="B101" i="1"/>
  <c r="B88" i="1"/>
  <c r="B92" i="1"/>
  <c r="B52" i="1"/>
  <c r="B25" i="1"/>
  <c r="B9" i="1"/>
  <c r="B10" i="1"/>
  <c r="B22" i="1"/>
  <c r="B36" i="1"/>
  <c r="B11" i="1"/>
  <c r="B99" i="1"/>
  <c r="B19" i="1"/>
  <c r="B3" i="1"/>
  <c r="B20" i="1"/>
  <c r="B34" i="1"/>
  <c r="B67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31" i="1"/>
  <c r="E62" i="1"/>
  <c r="E13" i="1"/>
  <c r="E91" i="1"/>
  <c r="E20" i="1"/>
  <c r="E89" i="1"/>
  <c r="E49" i="1"/>
  <c r="E83" i="1"/>
  <c r="E34" i="1"/>
  <c r="E17" i="1"/>
  <c r="E23" i="1"/>
  <c r="E96" i="1"/>
  <c r="E6" i="1"/>
  <c r="E68" i="1"/>
  <c r="E67" i="1"/>
  <c r="E53" i="1"/>
  <c r="E69" i="1"/>
  <c r="E8" i="1"/>
  <c r="E92" i="1"/>
  <c r="E9" i="1"/>
  <c r="E36" i="1"/>
  <c r="E19" i="1"/>
  <c r="E59" i="1"/>
  <c r="E47" i="1"/>
  <c r="E21" i="1"/>
  <c r="E79" i="1"/>
  <c r="E97" i="1"/>
  <c r="E98" i="1"/>
  <c r="E61" i="1"/>
  <c r="E82" i="1"/>
  <c r="E4" i="1"/>
  <c r="E94" i="1"/>
  <c r="E40" i="1"/>
  <c r="E38" i="1"/>
  <c r="E39" i="1"/>
  <c r="E28" i="1"/>
  <c r="E101" i="1"/>
  <c r="E25" i="1"/>
  <c r="E5" i="1"/>
  <c r="E57" i="1"/>
  <c r="E87" i="1"/>
  <c r="E64" i="1"/>
  <c r="E7" i="1"/>
  <c r="E41" i="1"/>
  <c r="E86" i="1"/>
  <c r="E51" i="1"/>
  <c r="E80" i="1"/>
  <c r="E65" i="1"/>
  <c r="E63" i="1"/>
  <c r="E70" i="1"/>
  <c r="E14" i="1"/>
  <c r="E24" i="1"/>
  <c r="E18" i="1"/>
  <c r="E84" i="1"/>
  <c r="E66" i="1"/>
  <c r="E30" i="1"/>
  <c r="E81" i="1"/>
  <c r="E26" i="1"/>
  <c r="E85" i="1"/>
  <c r="E73" i="1"/>
  <c r="E46" i="1"/>
  <c r="E42" i="1"/>
  <c r="E32" i="1"/>
  <c r="E75" i="1"/>
  <c r="E72" i="1"/>
  <c r="E44" i="1"/>
  <c r="E43" i="1"/>
  <c r="E35" i="1"/>
  <c r="E27" i="1"/>
  <c r="E77" i="1"/>
  <c r="E3" i="1"/>
  <c r="E12" i="1"/>
  <c r="E71" i="1"/>
  <c r="E58" i="1"/>
  <c r="E50" i="1"/>
  <c r="E95" i="1"/>
  <c r="E45" i="1"/>
  <c r="E90" i="1"/>
  <c r="E2" i="1"/>
  <c r="E48" i="1"/>
  <c r="E37" i="1"/>
  <c r="E33" i="1"/>
  <c r="E78" i="1"/>
  <c r="E55" i="1"/>
  <c r="E15" i="1"/>
  <c r="E100" i="1"/>
  <c r="E76" i="1"/>
  <c r="E60" i="1"/>
  <c r="E22" i="1"/>
  <c r="E99" i="1"/>
  <c r="E74" i="1"/>
  <c r="E56" i="1"/>
  <c r="E16" i="1"/>
  <c r="E31" i="1"/>
  <c r="E88" i="1"/>
  <c r="E52" i="1"/>
  <c r="E54" i="1"/>
  <c r="E10" i="1"/>
  <c r="E29" i="1"/>
  <c r="E11" i="1"/>
  <c r="E93" i="1"/>
  <c r="D89" i="1"/>
  <c r="D49" i="1"/>
  <c r="D83" i="1"/>
  <c r="D34" i="1"/>
  <c r="D7" i="1"/>
  <c r="D42" i="1"/>
  <c r="D79" i="1"/>
  <c r="D39" i="1"/>
  <c r="D56" i="1"/>
  <c r="D44" i="1"/>
  <c r="D101" i="1"/>
  <c r="D35" i="1"/>
  <c r="D9" i="1"/>
  <c r="D23" i="1"/>
  <c r="D85" i="1"/>
  <c r="D20" i="1"/>
  <c r="D96" i="1"/>
  <c r="D6" i="1"/>
  <c r="D68" i="1"/>
  <c r="D67" i="1"/>
  <c r="D64" i="1"/>
  <c r="D18" i="1"/>
  <c r="D66" i="1"/>
  <c r="D43" i="1"/>
  <c r="D17" i="1"/>
  <c r="D5" i="1"/>
  <c r="D82" i="1"/>
  <c r="D62" i="1"/>
  <c r="D59" i="1"/>
  <c r="D47" i="1"/>
  <c r="D21" i="1"/>
  <c r="D41" i="1"/>
  <c r="D69" i="1"/>
  <c r="D28" i="1"/>
  <c r="D45" i="1"/>
  <c r="D90" i="1"/>
  <c r="D61" i="1"/>
  <c r="D22" i="1"/>
  <c r="D57" i="1"/>
  <c r="D4" i="1"/>
  <c r="D94" i="1"/>
  <c r="D40" i="1"/>
  <c r="D87" i="1"/>
  <c r="D32" i="1"/>
  <c r="D38" i="1"/>
  <c r="D16" i="1"/>
  <c r="D88" i="1"/>
  <c r="D25" i="1"/>
  <c r="D29" i="1"/>
  <c r="D99" i="1"/>
  <c r="D13" i="1"/>
  <c r="D70" i="1"/>
  <c r="D14" i="1"/>
  <c r="D24" i="1"/>
  <c r="D73" i="1"/>
  <c r="D46" i="1"/>
  <c r="D72" i="1"/>
  <c r="D51" i="1"/>
  <c r="D76" i="1"/>
  <c r="D60" i="1"/>
  <c r="D65" i="1"/>
  <c r="D48" i="1"/>
  <c r="D93" i="1"/>
  <c r="D12" i="1"/>
  <c r="D71" i="1"/>
  <c r="D58" i="1"/>
  <c r="D33" i="1"/>
  <c r="D78" i="1"/>
  <c r="D74" i="1"/>
  <c r="D97" i="1"/>
  <c r="D30" i="1"/>
  <c r="D80" i="1"/>
  <c r="D10" i="1"/>
  <c r="D11" i="1"/>
  <c r="D3" i="1"/>
  <c r="D37" i="1"/>
  <c r="D52" i="1"/>
  <c r="D26" i="1"/>
  <c r="D63" i="1"/>
  <c r="D55" i="1"/>
  <c r="D50" i="1"/>
  <c r="D84" i="1"/>
  <c r="D15" i="1"/>
  <c r="D100" i="1"/>
  <c r="D8" i="1"/>
  <c r="D92" i="1"/>
  <c r="D54" i="1"/>
  <c r="D36" i="1"/>
  <c r="D19" i="1"/>
  <c r="D91" i="1"/>
  <c r="D75" i="1"/>
  <c r="D53" i="1"/>
  <c r="D86" i="1"/>
  <c r="D95" i="1"/>
  <c r="D98" i="1"/>
  <c r="D81" i="1"/>
  <c r="D27" i="1"/>
  <c r="D77" i="1"/>
  <c r="D2" i="1"/>
  <c r="D31" i="1"/>
</calcChain>
</file>

<file path=xl/sharedStrings.xml><?xml version="1.0" encoding="utf-8"?>
<sst xmlns="http://schemas.openxmlformats.org/spreadsheetml/2006/main" count="664" uniqueCount="363">
  <si>
    <t>Ticker</t>
  </si>
  <si>
    <t>Company/Index</t>
  </si>
  <si>
    <t>NVDA</t>
  </si>
  <si>
    <t>TSLA</t>
  </si>
  <si>
    <t>MSTR</t>
  </si>
  <si>
    <t>COIN</t>
  </si>
  <si>
    <t>NFLX</t>
  </si>
  <si>
    <t>SMCI</t>
  </si>
  <si>
    <t>MCD</t>
  </si>
  <si>
    <t>ASML</t>
  </si>
  <si>
    <t>MSFT</t>
  </si>
  <si>
    <t>MARA</t>
  </si>
  <si>
    <t>CLSK</t>
  </si>
  <si>
    <t>AAPL</t>
  </si>
  <si>
    <t>AMZN</t>
  </si>
  <si>
    <t>TSM</t>
  </si>
  <si>
    <t>AMD</t>
  </si>
  <si>
    <t>NIO</t>
  </si>
  <si>
    <t>GM</t>
  </si>
  <si>
    <t>UAL</t>
  </si>
  <si>
    <t>BABA</t>
  </si>
  <si>
    <t>MU</t>
  </si>
  <si>
    <t>RIOT</t>
  </si>
  <si>
    <t>GOOGL</t>
  </si>
  <si>
    <t>BA</t>
  </si>
  <si>
    <t>META</t>
  </si>
  <si>
    <t>GE</t>
  </si>
  <si>
    <t>MMM</t>
  </si>
  <si>
    <t>PLTR</t>
  </si>
  <si>
    <t>ARM</t>
  </si>
  <si>
    <t>JD</t>
  </si>
  <si>
    <t>NVAX</t>
  </si>
  <si>
    <t>PTON</t>
  </si>
  <si>
    <t>VZ</t>
  </si>
  <si>
    <t>UBER</t>
  </si>
  <si>
    <t>AFRM</t>
  </si>
  <si>
    <t>GS</t>
  </si>
  <si>
    <t>QCOM</t>
  </si>
  <si>
    <t>UNH</t>
  </si>
  <si>
    <t>HOOD</t>
  </si>
  <si>
    <t>INTC</t>
  </si>
  <si>
    <t>UPST</t>
  </si>
  <si>
    <t>TLRY</t>
  </si>
  <si>
    <t>SOFI</t>
  </si>
  <si>
    <t>BIDU</t>
  </si>
  <si>
    <t>SNOW</t>
  </si>
  <si>
    <t>CRWD</t>
  </si>
  <si>
    <t>JPM</t>
  </si>
  <si>
    <t>BAC</t>
  </si>
  <si>
    <t>MRNA</t>
  </si>
  <si>
    <t>IBM</t>
  </si>
  <si>
    <t>RIVN</t>
  </si>
  <si>
    <t>C</t>
  </si>
  <si>
    <t>NKE</t>
  </si>
  <si>
    <t>WMT</t>
  </si>
  <si>
    <t>ADBE</t>
  </si>
  <si>
    <t>SNAP</t>
  </si>
  <si>
    <t>ZM</t>
  </si>
  <si>
    <t>SQ</t>
  </si>
  <si>
    <t>AA</t>
  </si>
  <si>
    <t>DIS</t>
  </si>
  <si>
    <t>AAL</t>
  </si>
  <si>
    <t>PANW</t>
  </si>
  <si>
    <t>DAL</t>
  </si>
  <si>
    <t>PFE</t>
  </si>
  <si>
    <t>JNJ</t>
  </si>
  <si>
    <t>PYPL</t>
  </si>
  <si>
    <t>F</t>
  </si>
  <si>
    <t>XOM</t>
  </si>
  <si>
    <t>AXP</t>
  </si>
  <si>
    <t>PLUG</t>
  </si>
  <si>
    <t>AI</t>
  </si>
  <si>
    <t>SPCE</t>
  </si>
  <si>
    <t>HD</t>
  </si>
  <si>
    <t>ORCL</t>
  </si>
  <si>
    <t>PG</t>
  </si>
  <si>
    <t>GOOG</t>
  </si>
  <si>
    <t>PINS</t>
  </si>
  <si>
    <t>GME</t>
  </si>
  <si>
    <t>CVX</t>
  </si>
  <si>
    <t>MRK</t>
  </si>
  <si>
    <t>KO</t>
  </si>
  <si>
    <t>BRK.B</t>
  </si>
  <si>
    <t>V</t>
  </si>
  <si>
    <t>NVO</t>
  </si>
  <si>
    <t>USO</t>
  </si>
  <si>
    <t>CAT</t>
  </si>
  <si>
    <t>LLY</t>
  </si>
  <si>
    <t>WFC</t>
  </si>
  <si>
    <t>CSCO</t>
  </si>
  <si>
    <t>LYFT</t>
  </si>
  <si>
    <t>BYND</t>
  </si>
  <si>
    <t>OCGN</t>
  </si>
  <si>
    <t>BBY</t>
  </si>
  <si>
    <t>GILD</t>
  </si>
  <si>
    <t>EBAY</t>
  </si>
  <si>
    <t>ABNB</t>
  </si>
  <si>
    <t>BNTX</t>
  </si>
  <si>
    <t>GPRO</t>
  </si>
  <si>
    <t>HPQ</t>
  </si>
  <si>
    <t>T</t>
  </si>
  <si>
    <t>TLT</t>
  </si>
  <si>
    <t>QQQ</t>
  </si>
  <si>
    <t>IWM</t>
  </si>
  <si>
    <t>SPY</t>
  </si>
  <si>
    <t>SLV</t>
  </si>
  <si>
    <t>SOXL</t>
  </si>
  <si>
    <t>VIXY</t>
  </si>
  <si>
    <t>TQQQ</t>
  </si>
  <si>
    <t>SVXY</t>
  </si>
  <si>
    <t>TMF</t>
  </si>
  <si>
    <t>DIA</t>
  </si>
  <si>
    <t>EEM</t>
  </si>
  <si>
    <t>SQQQ</t>
  </si>
  <si>
    <t>GLD</t>
  </si>
  <si>
    <t>NVIDIA Corp</t>
  </si>
  <si>
    <t>Tesla Motors Inc</t>
  </si>
  <si>
    <t>MicroStrategy Inc</t>
  </si>
  <si>
    <t>Coinbase Global Inc</t>
  </si>
  <si>
    <t>Netflix Inc</t>
  </si>
  <si>
    <t>Super Micro Computer Inc</t>
  </si>
  <si>
    <t>McDonald's Corp</t>
  </si>
  <si>
    <t>ASML Holding NV (US)</t>
  </si>
  <si>
    <t>Microsoft Corp</t>
  </si>
  <si>
    <t>MARA Holdings Inc</t>
  </si>
  <si>
    <t>CleanSpark Inc</t>
  </si>
  <si>
    <t>Apple Inc</t>
  </si>
  <si>
    <t>Amazon.com Inc</t>
  </si>
  <si>
    <t>Taiwan Semiconductor Manufacturing Co Ltd - ADR</t>
  </si>
  <si>
    <t>Advanced Micro Devices Inc</t>
  </si>
  <si>
    <t>NIO Inc - ADR</t>
  </si>
  <si>
    <t>General Motors Co</t>
  </si>
  <si>
    <t>United Airlines Holdings Inc</t>
  </si>
  <si>
    <t>Alibaba Group Holding Ltd</t>
  </si>
  <si>
    <t>Micron Technology Inc</t>
  </si>
  <si>
    <t>Riot Blockchain Inc</t>
  </si>
  <si>
    <t>Alphabet Inc - A</t>
  </si>
  <si>
    <t>Boeing Co</t>
  </si>
  <si>
    <t>Meta Platforms Inc</t>
  </si>
  <si>
    <t>GE Aerospace</t>
  </si>
  <si>
    <t>3M Co</t>
  </si>
  <si>
    <t>Palantir Technologies Inc</t>
  </si>
  <si>
    <t>ARM Holdings PLC - ADR</t>
  </si>
  <si>
    <t>JD.com Inc</t>
  </si>
  <si>
    <t>Novavax Inc</t>
  </si>
  <si>
    <t>Peloton Interactive Inc</t>
  </si>
  <si>
    <t>Verizon Communications Inc</t>
  </si>
  <si>
    <t>Uber Technologies Inc</t>
  </si>
  <si>
    <t>Affirm Holdings Inc</t>
  </si>
  <si>
    <t>Goldman Sachs Group Inc</t>
  </si>
  <si>
    <t>QUALCOMM Inc</t>
  </si>
  <si>
    <t>UnitedHealth Group Inc</t>
  </si>
  <si>
    <t>Robinhood Markets Inc</t>
  </si>
  <si>
    <t>Intel Corp</t>
  </si>
  <si>
    <t>Upstart Holdings Inc</t>
  </si>
  <si>
    <t>Tilray Inc</t>
  </si>
  <si>
    <t>SoFi Technologies Inc</t>
  </si>
  <si>
    <t>Baidu Inc - ADR</t>
  </si>
  <si>
    <t>Snowflake Inc</t>
  </si>
  <si>
    <t>CrowdStrike Holdings Inc</t>
  </si>
  <si>
    <t>JPMorgan Chase &amp; Co</t>
  </si>
  <si>
    <t>Bank of America Corp</t>
  </si>
  <si>
    <t>Moderna Inc</t>
  </si>
  <si>
    <t>IBM Corp</t>
  </si>
  <si>
    <t>Rivian Automotive Inc</t>
  </si>
  <si>
    <t>Citigroup Inc</t>
  </si>
  <si>
    <t>NIKE Inc</t>
  </si>
  <si>
    <t>Walmart Inc</t>
  </si>
  <si>
    <t>Adobe Systems Inc</t>
  </si>
  <si>
    <t>Snap Inc</t>
  </si>
  <si>
    <t>Zoom Video Communications Inc</t>
  </si>
  <si>
    <t>Block Inc</t>
  </si>
  <si>
    <t>Alcoa Inc</t>
  </si>
  <si>
    <t>Walt Disney Co</t>
  </si>
  <si>
    <t>American Airlines Group Inc</t>
  </si>
  <si>
    <t>Palo Alto Networks Inc</t>
  </si>
  <si>
    <t>Delta Air Lines Inc</t>
  </si>
  <si>
    <t>Pfizer Inc</t>
  </si>
  <si>
    <t>Johnson &amp; Johnson</t>
  </si>
  <si>
    <t>PayPal Holdings Inc</t>
  </si>
  <si>
    <t>Ford Motor Co</t>
  </si>
  <si>
    <t>ExxonMobil Corp</t>
  </si>
  <si>
    <t>American Express Co</t>
  </si>
  <si>
    <t>Plug Power Inc</t>
  </si>
  <si>
    <t>C3.ai Inc</t>
  </si>
  <si>
    <t>Virgin Galactic Holdings Inc</t>
  </si>
  <si>
    <t>Home Depot Inc</t>
  </si>
  <si>
    <t>Oracle Corp</t>
  </si>
  <si>
    <t>Procter &amp; Gamble Co</t>
  </si>
  <si>
    <t>Alphabet Inc - C</t>
  </si>
  <si>
    <t>Pinterest Inc</t>
  </si>
  <si>
    <t>GameStop Corp</t>
  </si>
  <si>
    <t>Chevron Corp</t>
  </si>
  <si>
    <t>Merck &amp; Co Inc</t>
  </si>
  <si>
    <t>Coca-Cola Co</t>
  </si>
  <si>
    <t>Reddit Inc</t>
  </si>
  <si>
    <t>Berkshire Hathaway Inc - B</t>
  </si>
  <si>
    <t>Visa Inc</t>
  </si>
  <si>
    <t>Novo Nordisk AS - ADR</t>
  </si>
  <si>
    <t>United States Oil Fund LP</t>
  </si>
  <si>
    <t>Caterpillar Inc</t>
  </si>
  <si>
    <t>Eli Lilly &amp; Co</t>
  </si>
  <si>
    <t>Wells Fargo &amp; Co</t>
  </si>
  <si>
    <t>Cisco Systems Inc</t>
  </si>
  <si>
    <t>Lyft Inc</t>
  </si>
  <si>
    <t>Beyond Meat Inc</t>
  </si>
  <si>
    <t>Ocugen Inc</t>
  </si>
  <si>
    <t>Best Buy Co Inc</t>
  </si>
  <si>
    <t>Gilead Sciences Inc</t>
  </si>
  <si>
    <t>eBay Inc</t>
  </si>
  <si>
    <t>Airbnb Inc</t>
  </si>
  <si>
    <t>BioNTech SE</t>
  </si>
  <si>
    <t>GoPro Inc</t>
  </si>
  <si>
    <t>HP Inc</t>
  </si>
  <si>
    <t>AT&amp;T Inc</t>
  </si>
  <si>
    <t>iShares 20+ Year Treasury Bond ETF</t>
  </si>
  <si>
    <t>Invesco QQQ Trust Series 1</t>
  </si>
  <si>
    <t>iShares Russell 2000 ETF</t>
  </si>
  <si>
    <t>SPDR S&amp;P 500 ETF Trust</t>
  </si>
  <si>
    <t>iShares Silver Trust</t>
  </si>
  <si>
    <t>Direxion Daily Semiconductor Bull 3X ETF</t>
  </si>
  <si>
    <t>ProShares VIX Short-Term Futures ETF</t>
  </si>
  <si>
    <t>ProShares UltraPro QQQ</t>
  </si>
  <si>
    <t>ProShares Short VIX Short-Term Futures ETF</t>
  </si>
  <si>
    <t>Direxion Daily 20 Year Plus Treasury Bull 3x Shares</t>
  </si>
  <si>
    <t>SPDR Dow Jones Industrial Average ETF Trust</t>
  </si>
  <si>
    <t>iShares MSCI Emerging Markets ETF</t>
  </si>
  <si>
    <t>ProShares UltraPro Short QQQ</t>
  </si>
  <si>
    <t>SPDR Gold Shares</t>
  </si>
  <si>
    <t>RDDT</t>
  </si>
  <si>
    <t>Indexes / ETFs / ETPs</t>
  </si>
  <si>
    <t>EARN_TIME</t>
  </si>
  <si>
    <t>Notes: Have all of the earnings releases of the season and group by GCIS sector</t>
  </si>
  <si>
    <t>Have constantantly evolving averages of the earnings return for each GCIS sector</t>
  </si>
  <si>
    <t>Use this to find the number of earnings that are positive vs negative proportion</t>
  </si>
  <si>
    <t xml:space="preserve">Have this constantly making a more accurate model on making earnings trades. </t>
  </si>
  <si>
    <t>Could therfore also do earnings trades on stocks which you don’t have premarket / AH access to</t>
  </si>
  <si>
    <t xml:space="preserve">Could make this strategy more in depth by seeing the % surprise on earnings last quarter </t>
  </si>
  <si>
    <t>Seeing if anylysts will downgrade their rating this quarter as a percentage likelyhood.#</t>
  </si>
  <si>
    <t>At the end of the day stop being a pussy and risk some capital</t>
  </si>
  <si>
    <t>Youre going to make much more money in a scaleable strategy like this</t>
  </si>
  <si>
    <t>Do this in a bloomberg worksheet</t>
  </si>
  <si>
    <t>EARN_ANN_DT</t>
  </si>
  <si>
    <t>Bloomberg Ticker</t>
  </si>
  <si>
    <t>NVDA US Equity</t>
  </si>
  <si>
    <t>TSLA US Equity</t>
  </si>
  <si>
    <t>MSTR US Equity</t>
  </si>
  <si>
    <t>COIN US Equity</t>
  </si>
  <si>
    <t>NFLX US Equity</t>
  </si>
  <si>
    <t>SMCI US Equity</t>
  </si>
  <si>
    <t>MCD US Equity</t>
  </si>
  <si>
    <t>ASML US Equity</t>
  </si>
  <si>
    <t>MSFT US Equity</t>
  </si>
  <si>
    <t>MARA US Equity</t>
  </si>
  <si>
    <t>CLSK US Equity</t>
  </si>
  <si>
    <t>AAPL US Equity</t>
  </si>
  <si>
    <t>AMZN US Equity</t>
  </si>
  <si>
    <t>TSM US Equity</t>
  </si>
  <si>
    <t>AMD US Equity</t>
  </si>
  <si>
    <t>NIO US Equity</t>
  </si>
  <si>
    <t>GM US Equity</t>
  </si>
  <si>
    <t>UAL US Equity</t>
  </si>
  <si>
    <t>BABA US Equity</t>
  </si>
  <si>
    <t>MU US Equity</t>
  </si>
  <si>
    <t>RIOT US Equity</t>
  </si>
  <si>
    <t>GOOGL US Equity</t>
  </si>
  <si>
    <t>BA US Equity</t>
  </si>
  <si>
    <t>META US Equity</t>
  </si>
  <si>
    <t>GE US Equity</t>
  </si>
  <si>
    <t>MMM US Equity</t>
  </si>
  <si>
    <t>PLTR US Equity</t>
  </si>
  <si>
    <t>ARM US Equity</t>
  </si>
  <si>
    <t>JD US Equity</t>
  </si>
  <si>
    <t>NVAX US Equity</t>
  </si>
  <si>
    <t>PTON US Equity</t>
  </si>
  <si>
    <t>VZ US Equity</t>
  </si>
  <si>
    <t>UBER US Equity</t>
  </si>
  <si>
    <t>AFRM US Equity</t>
  </si>
  <si>
    <t>GS US Equity</t>
  </si>
  <si>
    <t>QCOM US Equity</t>
  </si>
  <si>
    <t>UNH US Equity</t>
  </si>
  <si>
    <t>HOOD US Equity</t>
  </si>
  <si>
    <t>INTC US Equity</t>
  </si>
  <si>
    <t>UPST US Equity</t>
  </si>
  <si>
    <t>TLRY US Equity</t>
  </si>
  <si>
    <t>SOFI US Equity</t>
  </si>
  <si>
    <t>BIDU US Equity</t>
  </si>
  <si>
    <t>SNOW US Equity</t>
  </si>
  <si>
    <t>CRWD US Equity</t>
  </si>
  <si>
    <t>JPM US Equity</t>
  </si>
  <si>
    <t>BAC US Equity</t>
  </si>
  <si>
    <t>MRNA US Equity</t>
  </si>
  <si>
    <t>IBM US Equity</t>
  </si>
  <si>
    <t>RIVN US Equity</t>
  </si>
  <si>
    <t>C US Equity</t>
  </si>
  <si>
    <t>NKE US Equity</t>
  </si>
  <si>
    <t>WMT US Equity</t>
  </si>
  <si>
    <t>ADBE US Equity</t>
  </si>
  <si>
    <t>SNAP US Equity</t>
  </si>
  <si>
    <t>ZM US Equity</t>
  </si>
  <si>
    <t>SQ US Equity</t>
  </si>
  <si>
    <t>AA US Equity</t>
  </si>
  <si>
    <t>DIS US Equity</t>
  </si>
  <si>
    <t>AAL US Equity</t>
  </si>
  <si>
    <t>PANW US Equity</t>
  </si>
  <si>
    <t>DAL US Equity</t>
  </si>
  <si>
    <t>PFE US Equity</t>
  </si>
  <si>
    <t>JNJ US Equity</t>
  </si>
  <si>
    <t>PYPL US Equity</t>
  </si>
  <si>
    <t>F US Equity</t>
  </si>
  <si>
    <t>XOM US Equity</t>
  </si>
  <si>
    <t>AXP US Equity</t>
  </si>
  <si>
    <t>PLUG US Equity</t>
  </si>
  <si>
    <t>AI US Equity</t>
  </si>
  <si>
    <t>SPCE US Equity</t>
  </si>
  <si>
    <t>HD US Equity</t>
  </si>
  <si>
    <t>ORCL US Equity</t>
  </si>
  <si>
    <t>PG US Equity</t>
  </si>
  <si>
    <t>GOOG US Equity</t>
  </si>
  <si>
    <t>PINS US Equity</t>
  </si>
  <si>
    <t>GME US Equity</t>
  </si>
  <si>
    <t>CVX US Equity</t>
  </si>
  <si>
    <t>MRK US Equity</t>
  </si>
  <si>
    <t>KO US Equity</t>
  </si>
  <si>
    <t>RDDT US Equity</t>
  </si>
  <si>
    <t>BRK.B US Equity</t>
  </si>
  <si>
    <t>V US Equity</t>
  </si>
  <si>
    <t>NVO US Equity</t>
  </si>
  <si>
    <t>USO US Equity</t>
  </si>
  <si>
    <t>CAT US Equity</t>
  </si>
  <si>
    <t>LLY US Equity</t>
  </si>
  <si>
    <t>WFC US Equity</t>
  </si>
  <si>
    <t>CSCO US Equity</t>
  </si>
  <si>
    <t>LYFT US Equity</t>
  </si>
  <si>
    <t>BYND US Equity</t>
  </si>
  <si>
    <t>OCGN US Equity</t>
  </si>
  <si>
    <t>BBY US Equity</t>
  </si>
  <si>
    <t>GILD US Equity</t>
  </si>
  <si>
    <t>EBAY US Equity</t>
  </si>
  <si>
    <t>ABNB US Equity</t>
  </si>
  <si>
    <t>BNTX US Equity</t>
  </si>
  <si>
    <t>GPRO US Equity</t>
  </si>
  <si>
    <t>HPQ US Equity</t>
  </si>
  <si>
    <t>T US Equity</t>
  </si>
  <si>
    <t>Right so for this screener I want the QE rate IE the rate of money being printed</t>
  </si>
  <si>
    <t>I want the risk free rate</t>
  </si>
  <si>
    <t>I want the interest rate</t>
  </si>
  <si>
    <t>And that will be it</t>
  </si>
  <si>
    <t>Then we want the earnings surprise for each of the securities in a trasnposed table</t>
  </si>
  <si>
    <t>Then we want the most correct analysts by how close the predicted is to the actual</t>
  </si>
  <si>
    <t>Aft-mkt</t>
  </si>
  <si>
    <t>Bef-mkt</t>
  </si>
  <si>
    <t>06:30</t>
  </si>
  <si>
    <t>#N/A</t>
  </si>
  <si>
    <t>12:00</t>
  </si>
  <si>
    <t>21:20</t>
  </si>
  <si>
    <t>12:30</t>
  </si>
  <si>
    <t>11:45</t>
  </si>
  <si>
    <t>13:00</t>
  </si>
  <si>
    <t>implied move check for each time</t>
  </si>
  <si>
    <t>earnings analysis done for each stock</t>
  </si>
  <si>
    <t>fair to assume that darkpools have increased execution probability</t>
  </si>
  <si>
    <t>just overlay the charts for each earnings session made for 10s with HOLC for strong directional price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</si>
</sst>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2" fillId="0" borderId="0" xfId="0" applyFont="1"/>
    <xf numFmtId="0" fontId="0" fillId="4" borderId="0" xfId="0" applyFill="1"/>
    <xf numFmtId="14" fontId="0" fillId="4" borderId="0" xfId="0" applyNumberFormat="1" applyFill="1"/>
    <xf numFmtId="0" fontId="2" fillId="4" borderId="0" xfId="0" applyFont="1" applyFill="1"/>
    <xf numFmtId="0" fontId="0" fillId="0" borderId="0" xfId="0" applyFill="1"/>
    <xf numFmtId="14" fontId="0" fillId="0" borderId="0" xfId="0" applyNumberForma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"/>
  <sheetViews>
    <sheetView workbookViewId="0">
      <selection activeCell="E101" sqref="A1:E101"/>
    </sheetView>
  </sheetViews>
  <sheetFormatPr defaultRowHeight="14.4" x14ac:dyDescent="0.3"/>
  <cols>
    <col min="2" max="2" width="16.5546875" bestFit="1" customWidth="1"/>
    <col min="3" max="3" width="41.77734375" bestFit="1" customWidth="1"/>
    <col min="4" max="4" width="41.77734375" customWidth="1"/>
    <col min="5" max="5" width="19.44140625" customWidth="1"/>
    <col min="6" max="6" width="29.109375" customWidth="1"/>
    <col min="7" max="7" width="16.21875" customWidth="1"/>
  </cols>
  <sheetData>
    <row r="1" spans="1:11" x14ac:dyDescent="0.3">
      <c r="A1" s="1" t="s">
        <v>0</v>
      </c>
      <c r="B1" s="1" t="s">
        <v>243</v>
      </c>
      <c r="C1" s="1" t="s">
        <v>1</v>
      </c>
      <c r="D1" s="3" t="s">
        <v>242</v>
      </c>
      <c r="E1" t="s">
        <v>231</v>
      </c>
    </row>
    <row r="2" spans="1:11" x14ac:dyDescent="0.3">
      <c r="A2" t="s">
        <v>28</v>
      </c>
      <c r="B2" t="str">
        <f t="shared" ref="B2:B33" si="0">A2&amp;" US Equity"</f>
        <v>PLTR US Equity</v>
      </c>
      <c r="C2" t="s">
        <v>141</v>
      </c>
      <c r="D2" s="2" t="e">
        <f ca="1">_xll.BQL(B2, "expected_report_dt")</f>
        <v>#NAME?</v>
      </c>
      <c r="E2" t="e">
        <f ca="1">_xll.BQL(B2, "expected_report_time")</f>
        <v>#NAME?</v>
      </c>
    </row>
    <row r="3" spans="1:11" x14ac:dyDescent="0.3">
      <c r="A3" t="s">
        <v>97</v>
      </c>
      <c r="B3" t="str">
        <f t="shared" si="0"/>
        <v>BNTX US Equity</v>
      </c>
      <c r="C3" t="s">
        <v>211</v>
      </c>
      <c r="D3" s="2" t="e">
        <f ca="1">_xll.BQL(B3, "expected_report_dt")</f>
        <v>#NAME?</v>
      </c>
      <c r="E3" t="e">
        <f ca="1">_xll.BQL(B3, "expected_report_time")</f>
        <v>#NAME?</v>
      </c>
    </row>
    <row r="4" spans="1:11" x14ac:dyDescent="0.3">
      <c r="A4" t="s">
        <v>7</v>
      </c>
      <c r="B4" t="str">
        <f t="shared" si="0"/>
        <v>SMCI US Equity</v>
      </c>
      <c r="C4" t="s">
        <v>120</v>
      </c>
      <c r="D4" s="2" t="e">
        <f ca="1">_xll.BQL(B4, "expected_report_dt")</f>
        <v>#NAME?</v>
      </c>
      <c r="E4" t="e">
        <f ca="1">_xll.BQL(B4, "expected_report_time")</f>
        <v>#NAME?</v>
      </c>
    </row>
    <row r="5" spans="1:11" x14ac:dyDescent="0.3">
      <c r="A5" t="s">
        <v>29</v>
      </c>
      <c r="B5" t="str">
        <f t="shared" si="0"/>
        <v>ARM US Equity</v>
      </c>
      <c r="C5" t="s">
        <v>142</v>
      </c>
      <c r="D5" s="2" t="e">
        <f ca="1">_xll.BQL(B5, "expected_report_dt")</f>
        <v>#NAME?</v>
      </c>
      <c r="E5" t="e">
        <f ca="1">_xll.BQL(B5, "expected_report_time")</f>
        <v>#NAME?</v>
      </c>
      <c r="K5" t="s">
        <v>232</v>
      </c>
    </row>
    <row r="6" spans="1:11" x14ac:dyDescent="0.3">
      <c r="A6" t="s">
        <v>37</v>
      </c>
      <c r="B6" t="str">
        <f t="shared" si="0"/>
        <v>QCOM US Equity</v>
      </c>
      <c r="C6" t="s">
        <v>150</v>
      </c>
      <c r="D6" s="2" t="e">
        <f ca="1">_xll.BQL(B6, "expected_report_dt")</f>
        <v>#NAME?</v>
      </c>
      <c r="E6" t="e">
        <f ca="1">_xll.BQL(B6, "expected_report_time")</f>
        <v>#NAME?</v>
      </c>
      <c r="K6" t="s">
        <v>233</v>
      </c>
    </row>
    <row r="7" spans="1:11" x14ac:dyDescent="0.3">
      <c r="A7" t="s">
        <v>72</v>
      </c>
      <c r="B7" t="str">
        <f t="shared" si="0"/>
        <v>SPCE US Equity</v>
      </c>
      <c r="C7" t="s">
        <v>185</v>
      </c>
      <c r="D7" s="2" t="e">
        <f ca="1">_xll.BQL(B7, "expected_report_dt")</f>
        <v>#NAME?</v>
      </c>
      <c r="E7" t="e">
        <f ca="1">_xll.BQL(B7, "expected_report_time")</f>
        <v>#NAME?</v>
      </c>
      <c r="K7" t="s">
        <v>234</v>
      </c>
    </row>
    <row r="8" spans="1:11" x14ac:dyDescent="0.3">
      <c r="A8" t="s">
        <v>84</v>
      </c>
      <c r="B8" t="str">
        <f t="shared" si="0"/>
        <v>NVO US Equity</v>
      </c>
      <c r="C8" t="s">
        <v>198</v>
      </c>
      <c r="D8" s="2" t="e">
        <f ca="1">_xll.BQL(B8, "expected_report_dt")</f>
        <v>#NAME?</v>
      </c>
      <c r="E8" t="e">
        <f ca="1">_xll.BQL(B8, "expected_report_time")</f>
        <v>#NAME?</v>
      </c>
      <c r="K8" t="s">
        <v>235</v>
      </c>
    </row>
    <row r="9" spans="1:11" x14ac:dyDescent="0.3">
      <c r="A9" t="s">
        <v>90</v>
      </c>
      <c r="B9" t="str">
        <f t="shared" si="0"/>
        <v>LYFT US Equity</v>
      </c>
      <c r="C9" t="s">
        <v>204</v>
      </c>
      <c r="D9" s="2" t="e">
        <f ca="1">_xll.BQL(B9, "expected_report_dt")</f>
        <v>#NAME?</v>
      </c>
      <c r="E9" t="e">
        <f ca="1">_xll.BQL(B9, "expected_report_time")</f>
        <v>#NAME?</v>
      </c>
      <c r="K9" t="s">
        <v>236</v>
      </c>
    </row>
    <row r="10" spans="1:11" x14ac:dyDescent="0.3">
      <c r="A10" t="s">
        <v>91</v>
      </c>
      <c r="B10" t="str">
        <f t="shared" si="0"/>
        <v>BYND US Equity</v>
      </c>
      <c r="C10" t="s">
        <v>205</v>
      </c>
      <c r="D10" s="2" t="e">
        <f ca="1">_xll.BQL(B10, "expected_report_dt")</f>
        <v>#NAME?</v>
      </c>
      <c r="E10" t="e">
        <f ca="1">_xll.BQL(B10, "expected_report_time")</f>
        <v>#NAME?</v>
      </c>
      <c r="K10" t="s">
        <v>237</v>
      </c>
    </row>
    <row r="11" spans="1:11" x14ac:dyDescent="0.3">
      <c r="A11" t="s">
        <v>94</v>
      </c>
      <c r="B11" t="str">
        <f t="shared" si="0"/>
        <v>GILD US Equity</v>
      </c>
      <c r="C11" t="s">
        <v>208</v>
      </c>
      <c r="D11" s="2" t="e">
        <f ca="1">_xll.BQL(B11, "expected_report_dt")</f>
        <v>#NAME?</v>
      </c>
      <c r="E11" t="e">
        <f ca="1">_xll.BQL(B11, "expected_report_time")</f>
        <v>#NAME?</v>
      </c>
      <c r="K11" t="s">
        <v>238</v>
      </c>
    </row>
    <row r="12" spans="1:11" x14ac:dyDescent="0.3">
      <c r="A12" t="s">
        <v>11</v>
      </c>
      <c r="B12" t="str">
        <f t="shared" si="0"/>
        <v>MARA US Equity</v>
      </c>
      <c r="C12" t="s">
        <v>124</v>
      </c>
      <c r="D12" s="2" t="e">
        <f ca="1">_xll.BQL(B12, "expected_report_dt")</f>
        <v>#NAME?</v>
      </c>
      <c r="E12" t="e">
        <f ca="1">_xll.BQL(B12, "expected_report_time")</f>
        <v>#NAME?</v>
      </c>
    </row>
    <row r="13" spans="1:11" x14ac:dyDescent="0.3">
      <c r="A13" t="s">
        <v>35</v>
      </c>
      <c r="B13" t="str">
        <f t="shared" si="0"/>
        <v>AFRM US Equity</v>
      </c>
      <c r="C13" t="s">
        <v>148</v>
      </c>
      <c r="D13" s="2" t="e">
        <f ca="1">_xll.BQL(B13, "expected_report_dt")</f>
        <v>#NAME?</v>
      </c>
      <c r="E13" t="e">
        <f ca="1">_xll.BQL(B13, "expected_report_time")</f>
        <v>#NAME?</v>
      </c>
      <c r="K13" t="s">
        <v>239</v>
      </c>
    </row>
    <row r="14" spans="1:11" x14ac:dyDescent="0.3">
      <c r="A14" t="s">
        <v>41</v>
      </c>
      <c r="B14" t="str">
        <f t="shared" si="0"/>
        <v>UPST US Equity</v>
      </c>
      <c r="C14" t="s">
        <v>154</v>
      </c>
      <c r="D14" s="2" t="e">
        <f ca="1">_xll.BQL(B14, "expected_report_dt")</f>
        <v>#NAME?</v>
      </c>
      <c r="E14" t="e">
        <f ca="1">_xll.BQL(B14, "expected_report_time")</f>
        <v>#NAME?</v>
      </c>
      <c r="J14" s="2"/>
      <c r="K14" t="s">
        <v>240</v>
      </c>
    </row>
    <row r="15" spans="1:11" x14ac:dyDescent="0.3">
      <c r="A15" t="s">
        <v>49</v>
      </c>
      <c r="B15" t="str">
        <f t="shared" si="0"/>
        <v>MRNA US Equity</v>
      </c>
      <c r="C15" t="s">
        <v>162</v>
      </c>
      <c r="D15" s="2" t="e">
        <f ca="1">_xll.BQL(B15, "expected_report_dt")</f>
        <v>#NAME?</v>
      </c>
      <c r="E15" t="e">
        <f ca="1">_xll.BQL(B15, "expected_report_time")</f>
        <v>#NAME?</v>
      </c>
      <c r="J15" s="2"/>
      <c r="K15" t="s">
        <v>241</v>
      </c>
    </row>
    <row r="16" spans="1:11" x14ac:dyDescent="0.3">
      <c r="A16" t="s">
        <v>51</v>
      </c>
      <c r="B16" t="str">
        <f t="shared" si="0"/>
        <v>RIVN US Equity</v>
      </c>
      <c r="C16" t="s">
        <v>164</v>
      </c>
      <c r="D16" s="2" t="e">
        <f ca="1">_xll.BQL(B16, "expected_report_dt")</f>
        <v>#NAME?</v>
      </c>
      <c r="E16" t="e">
        <f ca="1">_xll.BQL(B16, "expected_report_time")</f>
        <v>#NAME?</v>
      </c>
      <c r="J16" s="2"/>
    </row>
    <row r="17" spans="1:10" x14ac:dyDescent="0.3">
      <c r="A17" t="s">
        <v>58</v>
      </c>
      <c r="B17" t="str">
        <f t="shared" si="0"/>
        <v>SQ US Equity</v>
      </c>
      <c r="C17" t="s">
        <v>171</v>
      </c>
      <c r="D17" s="2" t="e">
        <f ca="1">_xll.BQL(B17, "expected_report_dt")</f>
        <v>#NAME?</v>
      </c>
      <c r="E17" t="e">
        <f ca="1">_xll.BQL(B17, "expected_report_time")</f>
        <v>#NAME?</v>
      </c>
      <c r="J17" s="2"/>
    </row>
    <row r="18" spans="1:10" x14ac:dyDescent="0.3">
      <c r="A18" t="s">
        <v>77</v>
      </c>
      <c r="B18" t="str">
        <f t="shared" si="0"/>
        <v>PINS US Equity</v>
      </c>
      <c r="C18" t="s">
        <v>190</v>
      </c>
      <c r="D18" s="2" t="e">
        <f ca="1">_xll.BQL(B18, "expected_report_dt")</f>
        <v>#NAME?</v>
      </c>
      <c r="E18" t="e">
        <f ca="1">_xll.BQL(B18, "expected_report_time")</f>
        <v>#NAME?</v>
      </c>
      <c r="J18" s="2"/>
    </row>
    <row r="19" spans="1:10" x14ac:dyDescent="0.3">
      <c r="A19" t="s">
        <v>96</v>
      </c>
      <c r="B19" t="str">
        <f t="shared" si="0"/>
        <v>ABNB US Equity</v>
      </c>
      <c r="C19" t="s">
        <v>210</v>
      </c>
      <c r="D19" s="2" t="e">
        <f ca="1">_xll.BQL(B19, "expected_report_dt")</f>
        <v>#NAME?</v>
      </c>
      <c r="E19" t="e">
        <f ca="1">_xll.BQL(B19, "expected_report_time")</f>
        <v>#NAME?</v>
      </c>
      <c r="J19" s="2"/>
    </row>
    <row r="20" spans="1:10" x14ac:dyDescent="0.3">
      <c r="A20" t="s">
        <v>98</v>
      </c>
      <c r="B20" t="str">
        <f t="shared" si="0"/>
        <v>GPRO US Equity</v>
      </c>
      <c r="C20" t="s">
        <v>212</v>
      </c>
      <c r="D20" s="2" t="e">
        <f ca="1">_xll.BQL(B20, "expected_report_dt")</f>
        <v>#NAME?</v>
      </c>
      <c r="E20" t="e">
        <f ca="1">_xll.BQL(B20, "expected_report_time")</f>
        <v>#NAME?</v>
      </c>
      <c r="J20" s="2"/>
    </row>
    <row r="21" spans="1:10" x14ac:dyDescent="0.3">
      <c r="A21" t="s">
        <v>70</v>
      </c>
      <c r="B21" t="str">
        <f t="shared" si="0"/>
        <v>PLUG US Equity</v>
      </c>
      <c r="C21" t="s">
        <v>183</v>
      </c>
      <c r="D21" s="2" t="e">
        <f ca="1">_xll.BQL(B21, "expected_report_dt")</f>
        <v>#NAME?</v>
      </c>
      <c r="E21" t="e">
        <f ca="1">_xll.BQL(B21, "expected_report_time")</f>
        <v>#NAME?</v>
      </c>
      <c r="J21" s="2"/>
    </row>
    <row r="22" spans="1:10" x14ac:dyDescent="0.3">
      <c r="A22" t="s">
        <v>92</v>
      </c>
      <c r="B22" t="str">
        <f t="shared" si="0"/>
        <v>OCGN US Equity</v>
      </c>
      <c r="C22" t="s">
        <v>206</v>
      </c>
      <c r="D22" s="2" t="e">
        <f ca="1">_xll.BQL(B22, "expected_report_dt")</f>
        <v>#NAME?</v>
      </c>
      <c r="E22" t="e">
        <f ca="1">_xll.BQL(B22, "expected_report_time")</f>
        <v>#NAME?</v>
      </c>
      <c r="J22" s="2" t="s">
        <v>344</v>
      </c>
    </row>
    <row r="23" spans="1:10" x14ac:dyDescent="0.3">
      <c r="A23" t="s">
        <v>31</v>
      </c>
      <c r="B23" t="str">
        <f t="shared" si="0"/>
        <v>NVAX US Equity</v>
      </c>
      <c r="C23" t="s">
        <v>144</v>
      </c>
      <c r="D23" s="2" t="e">
        <f ca="1">_xll.BQL(B23, "expected_report_dt")</f>
        <v>#NAME?</v>
      </c>
      <c r="E23" t="e">
        <f ca="1">_xll.BQL(B23, "expected_report_time")</f>
        <v>#NAME?</v>
      </c>
      <c r="J23" s="2" t="s">
        <v>345</v>
      </c>
    </row>
    <row r="24" spans="1:10" x14ac:dyDescent="0.3">
      <c r="A24" t="s">
        <v>73</v>
      </c>
      <c r="B24" t="str">
        <f t="shared" si="0"/>
        <v>HD US Equity</v>
      </c>
      <c r="C24" t="s">
        <v>186</v>
      </c>
      <c r="D24" s="2" t="e">
        <f ca="1">_xll.BQL(B24, "expected_report_dt")</f>
        <v>#NAME?</v>
      </c>
      <c r="E24" t="e">
        <f ca="1">_xll.BQL(B24, "expected_report_time")</f>
        <v>#NAME?</v>
      </c>
      <c r="J24" s="2" t="s">
        <v>346</v>
      </c>
    </row>
    <row r="25" spans="1:10" x14ac:dyDescent="0.3">
      <c r="A25" t="s">
        <v>89</v>
      </c>
      <c r="B25" t="str">
        <f t="shared" si="0"/>
        <v>CSCO US Equity</v>
      </c>
      <c r="C25" t="s">
        <v>203</v>
      </c>
      <c r="D25" s="2" t="e">
        <f ca="1">_xll.BQL(B25, "expected_report_dt")</f>
        <v>#NAME?</v>
      </c>
      <c r="E25" t="e">
        <f ca="1">_xll.BQL(B25, "expected_report_time")</f>
        <v>#NAME?</v>
      </c>
      <c r="J25" s="2" t="s">
        <v>347</v>
      </c>
    </row>
    <row r="26" spans="1:10" x14ac:dyDescent="0.3">
      <c r="A26" t="s">
        <v>30</v>
      </c>
      <c r="B26" t="str">
        <f t="shared" si="0"/>
        <v>JD US Equity</v>
      </c>
      <c r="C26" t="s">
        <v>143</v>
      </c>
      <c r="D26" s="2" t="e">
        <f ca="1">_xll.BQL(B26, "expected_report_dt")</f>
        <v>#NAME?</v>
      </c>
      <c r="E26" t="e">
        <f ca="1">_xll.BQL(B26, "expected_report_time")</f>
        <v>#NAME?</v>
      </c>
      <c r="J26" s="2"/>
    </row>
    <row r="27" spans="1:10" x14ac:dyDescent="0.3">
      <c r="A27" t="s">
        <v>60</v>
      </c>
      <c r="B27" t="str">
        <f t="shared" si="0"/>
        <v>DIS US Equity</v>
      </c>
      <c r="C27" t="s">
        <v>173</v>
      </c>
      <c r="D27" s="2" t="e">
        <f ca="1">_xll.BQL(B27, "expected_report_dt")</f>
        <v>#NAME?</v>
      </c>
      <c r="E27" t="e">
        <f ca="1">_xll.BQL(B27, "expected_report_time")</f>
        <v>#NAME?</v>
      </c>
      <c r="J27" s="2" t="s">
        <v>348</v>
      </c>
    </row>
    <row r="28" spans="1:10" x14ac:dyDescent="0.3">
      <c r="A28" t="s">
        <v>20</v>
      </c>
      <c r="B28" t="str">
        <f t="shared" si="0"/>
        <v>BABA US Equity</v>
      </c>
      <c r="C28" t="s">
        <v>133</v>
      </c>
      <c r="D28" s="2" t="e">
        <f ca="1">_xll.BQL(B28, "expected_report_dt")</f>
        <v>#NAME?</v>
      </c>
      <c r="E28" t="e">
        <f ca="1">_xll.BQL(B28, "expected_report_time")</f>
        <v>#NAME?</v>
      </c>
      <c r="J28" s="2" t="s">
        <v>349</v>
      </c>
    </row>
    <row r="29" spans="1:10" x14ac:dyDescent="0.3">
      <c r="A29" t="s">
        <v>62</v>
      </c>
      <c r="B29" t="str">
        <f t="shared" si="0"/>
        <v>PANW US Equity</v>
      </c>
      <c r="C29" t="s">
        <v>175</v>
      </c>
      <c r="D29" s="2" t="e">
        <f ca="1">_xll.BQL(B29, "expected_report_dt")</f>
        <v>#NAME?</v>
      </c>
      <c r="E29" t="e">
        <f ca="1">_xll.BQL(B29, "expected_report_time")</f>
        <v>#NAME?</v>
      </c>
      <c r="J29" s="2"/>
    </row>
    <row r="30" spans="1:10" x14ac:dyDescent="0.3">
      <c r="A30" t="s">
        <v>54</v>
      </c>
      <c r="B30" t="str">
        <f t="shared" si="0"/>
        <v>WMT US Equity</v>
      </c>
      <c r="C30" t="s">
        <v>167</v>
      </c>
      <c r="D30" s="2" t="e">
        <f ca="1">_xll.BQL(B30, "expected_report_dt")</f>
        <v>#NAME?</v>
      </c>
      <c r="E30" t="e">
        <f ca="1">_xll.BQL(B30, "expected_report_time")</f>
        <v>#NAME?</v>
      </c>
      <c r="J30" s="2"/>
    </row>
    <row r="31" spans="1:10" x14ac:dyDescent="0.3">
      <c r="A31" t="s">
        <v>2</v>
      </c>
      <c r="B31" t="str">
        <f t="shared" si="0"/>
        <v>NVDA US Equity</v>
      </c>
      <c r="C31" t="s">
        <v>115</v>
      </c>
      <c r="D31" s="2" t="e">
        <f ca="1">_xll.BQL(B31, "expected_report_dt")</f>
        <v>#NAME?</v>
      </c>
      <c r="E31" t="e">
        <f ca="1">_xll.BQL(B31, "expected_report_time")</f>
        <v>#NAME?</v>
      </c>
      <c r="J31" s="2"/>
    </row>
    <row r="32" spans="1:10" x14ac:dyDescent="0.3">
      <c r="A32" t="s">
        <v>45</v>
      </c>
      <c r="B32" t="str">
        <f t="shared" si="0"/>
        <v>SNOW US Equity</v>
      </c>
      <c r="C32" t="s">
        <v>158</v>
      </c>
      <c r="D32" s="2" t="e">
        <f ca="1">_xll.BQL(B32, "expected_report_dt")</f>
        <v>#NAME?</v>
      </c>
      <c r="E32" t="e">
        <f ca="1">_xll.BQL(B32, "expected_report_time")</f>
        <v>#NAME?</v>
      </c>
      <c r="J32" s="2"/>
    </row>
    <row r="33" spans="1:10" x14ac:dyDescent="0.3">
      <c r="A33" t="s">
        <v>44</v>
      </c>
      <c r="B33" t="str">
        <f t="shared" si="0"/>
        <v>BIDU US Equity</v>
      </c>
      <c r="C33" t="s">
        <v>157</v>
      </c>
      <c r="D33" s="2" t="e">
        <f ca="1">_xll.BQL(B33, "expected_report_dt")</f>
        <v>#NAME?</v>
      </c>
      <c r="E33" t="e">
        <f ca="1">_xll.BQL(B33, "expected_report_time")</f>
        <v>#NAME?</v>
      </c>
      <c r="J33" s="2"/>
    </row>
    <row r="34" spans="1:10" x14ac:dyDescent="0.3">
      <c r="A34" t="s">
        <v>99</v>
      </c>
      <c r="B34" t="str">
        <f t="shared" ref="B34:B65" si="1">A34&amp;" US Equity"</f>
        <v>HPQ US Equity</v>
      </c>
      <c r="C34" t="s">
        <v>213</v>
      </c>
      <c r="D34" s="2" t="e">
        <f ca="1">_xll.BQL(B34, "expected_report_dt")</f>
        <v>#NAME?</v>
      </c>
      <c r="E34" t="e">
        <f ca="1">_xll.BQL(B34, "expected_report_time")</f>
        <v>#NAME?</v>
      </c>
      <c r="J34" s="2"/>
    </row>
    <row r="35" spans="1:10" x14ac:dyDescent="0.3">
      <c r="A35" t="s">
        <v>57</v>
      </c>
      <c r="B35" t="str">
        <f t="shared" si="1"/>
        <v>ZM US Equity</v>
      </c>
      <c r="C35" t="s">
        <v>170</v>
      </c>
      <c r="D35" s="2" t="e">
        <f ca="1">_xll.BQL(B35, "expected_report_dt")</f>
        <v>#NAME?</v>
      </c>
      <c r="E35" t="e">
        <f ca="1">_xll.BQL(B35, "expected_report_time")</f>
        <v>#NAME?</v>
      </c>
      <c r="J35" s="2"/>
    </row>
    <row r="36" spans="1:10" x14ac:dyDescent="0.3">
      <c r="A36" t="s">
        <v>93</v>
      </c>
      <c r="B36" t="str">
        <f t="shared" si="1"/>
        <v>BBY US Equity</v>
      </c>
      <c r="C36" t="s">
        <v>207</v>
      </c>
      <c r="D36" s="2" t="e">
        <f ca="1">_xll.BQL(B36, "expected_report_dt")</f>
        <v>#NAME?</v>
      </c>
      <c r="E36" t="e">
        <f ca="1">_xll.BQL(B36, "expected_report_time")</f>
        <v>#NAME?</v>
      </c>
      <c r="J36" s="2"/>
    </row>
    <row r="37" spans="1:10" x14ac:dyDescent="0.3">
      <c r="A37" t="s">
        <v>12</v>
      </c>
      <c r="B37" t="str">
        <f t="shared" si="1"/>
        <v>CLSK US Equity</v>
      </c>
      <c r="C37" t="s">
        <v>125</v>
      </c>
      <c r="D37" s="2" t="e">
        <f ca="1">_xll.BQL(B37, "expected_report_dt")</f>
        <v>#NAME?</v>
      </c>
      <c r="E37" t="e">
        <f ca="1">_xll.BQL(B37, "expected_report_time")</f>
        <v>#NAME?</v>
      </c>
      <c r="J37" s="2"/>
    </row>
    <row r="38" spans="1:10" x14ac:dyDescent="0.3">
      <c r="A38" t="s">
        <v>46</v>
      </c>
      <c r="B38" t="str">
        <f t="shared" si="1"/>
        <v>CRWD US Equity</v>
      </c>
      <c r="C38" t="s">
        <v>159</v>
      </c>
      <c r="D38" s="2" t="e">
        <f ca="1">_xll.BQL(B38, "expected_report_dt")</f>
        <v>#NAME?</v>
      </c>
      <c r="E38" t="e">
        <f ca="1">_xll.BQL(B38, "expected_report_time")</f>
        <v>#NAME?</v>
      </c>
      <c r="J38" s="2"/>
    </row>
    <row r="39" spans="1:10" x14ac:dyDescent="0.3">
      <c r="A39" t="s">
        <v>17</v>
      </c>
      <c r="B39" t="str">
        <f t="shared" si="1"/>
        <v>NIO US Equity</v>
      </c>
      <c r="C39" t="s">
        <v>130</v>
      </c>
      <c r="D39" s="2" t="e">
        <f ca="1">_xll.BQL(B39, "expected_report_dt")</f>
        <v>#NAME?</v>
      </c>
      <c r="E39" t="e">
        <f ca="1">_xll.BQL(B39, "expected_report_time")</f>
        <v>#NAME?</v>
      </c>
      <c r="J39" s="2"/>
    </row>
    <row r="40" spans="1:10" x14ac:dyDescent="0.3">
      <c r="A40" t="s">
        <v>71</v>
      </c>
      <c r="B40" t="str">
        <f t="shared" si="1"/>
        <v>AI US Equity</v>
      </c>
      <c r="C40" t="s">
        <v>184</v>
      </c>
      <c r="D40" s="2" t="e">
        <f ca="1">_xll.BQL(B40, "expected_report_dt")</f>
        <v>#NAME?</v>
      </c>
      <c r="E40" t="e">
        <f ca="1">_xll.BQL(B40, "expected_report_time")</f>
        <v>#NAME?</v>
      </c>
      <c r="J40" s="2"/>
    </row>
    <row r="41" spans="1:10" x14ac:dyDescent="0.3">
      <c r="A41" t="s">
        <v>78</v>
      </c>
      <c r="B41" t="str">
        <f t="shared" si="1"/>
        <v>GME US Equity</v>
      </c>
      <c r="C41" t="s">
        <v>191</v>
      </c>
      <c r="D41" s="2" t="e">
        <f ca="1">_xll.BQL(B41, "expected_report_dt")</f>
        <v>#NAME?</v>
      </c>
      <c r="E41" t="e">
        <f ca="1">_xll.BQL(B41, "expected_report_time")</f>
        <v>#NAME?</v>
      </c>
      <c r="J41" s="2"/>
    </row>
    <row r="42" spans="1:10" x14ac:dyDescent="0.3">
      <c r="A42" t="s">
        <v>74</v>
      </c>
      <c r="B42" t="str">
        <f t="shared" si="1"/>
        <v>ORCL US Equity</v>
      </c>
      <c r="C42" t="s">
        <v>187</v>
      </c>
      <c r="D42" s="2" t="e">
        <f ca="1">_xll.BQL(B42, "expected_report_dt")</f>
        <v>#NAME?</v>
      </c>
      <c r="E42" t="e">
        <f ca="1">_xll.BQL(B42, "expected_report_time")</f>
        <v>#NAME?</v>
      </c>
      <c r="J42" s="2"/>
    </row>
    <row r="43" spans="1:10" x14ac:dyDescent="0.3">
      <c r="A43" t="s">
        <v>55</v>
      </c>
      <c r="B43" t="str">
        <f t="shared" si="1"/>
        <v>ADBE US Equity</v>
      </c>
      <c r="C43" t="s">
        <v>168</v>
      </c>
      <c r="D43" s="2" t="e">
        <f ca="1">_xll.BQL(B43, "expected_report_dt")</f>
        <v>#NAME?</v>
      </c>
      <c r="E43" t="e">
        <f ca="1">_xll.BQL(B43, "expected_report_time")</f>
        <v>#NAME?</v>
      </c>
      <c r="J43" s="2"/>
    </row>
    <row r="44" spans="1:10" x14ac:dyDescent="0.3">
      <c r="A44" t="s">
        <v>21</v>
      </c>
      <c r="B44" t="str">
        <f t="shared" si="1"/>
        <v>MU US Equity</v>
      </c>
      <c r="C44" t="s">
        <v>134</v>
      </c>
      <c r="D44" s="2" t="e">
        <f ca="1">_xll.BQL(B44, "expected_report_dt")</f>
        <v>#NAME?</v>
      </c>
      <c r="E44" t="e">
        <f ca="1">_xll.BQL(B44, "expected_report_time")</f>
        <v>#NAME?</v>
      </c>
      <c r="J44" s="2"/>
    </row>
    <row r="45" spans="1:10" x14ac:dyDescent="0.3">
      <c r="A45" t="s">
        <v>53</v>
      </c>
      <c r="B45" t="str">
        <f t="shared" si="1"/>
        <v>NKE US Equity</v>
      </c>
      <c r="C45" t="s">
        <v>166</v>
      </c>
      <c r="D45" s="2" t="e">
        <f ca="1">_xll.BQL(B45, "expected_report_dt")</f>
        <v>#NAME?</v>
      </c>
      <c r="E45" t="e">
        <f ca="1">_xll.BQL(B45, "expected_report_time")</f>
        <v>#NAME?</v>
      </c>
      <c r="J45" s="2"/>
    </row>
    <row r="46" spans="1:10" x14ac:dyDescent="0.3">
      <c r="A46" t="s">
        <v>42</v>
      </c>
      <c r="B46" t="str">
        <f t="shared" si="1"/>
        <v>TLRY US Equity</v>
      </c>
      <c r="C46" t="s">
        <v>155</v>
      </c>
      <c r="D46" s="2" t="e">
        <f ca="1">_xll.BQL(B46, "expected_report_dt")</f>
        <v>#NAME?</v>
      </c>
      <c r="E46" t="e">
        <f ca="1">_xll.BQL(B46, "expected_report_time")</f>
        <v>#NAME?</v>
      </c>
      <c r="J46" s="2"/>
    </row>
    <row r="47" spans="1:10" x14ac:dyDescent="0.3">
      <c r="A47" t="s">
        <v>38</v>
      </c>
      <c r="B47" t="str">
        <f t="shared" si="1"/>
        <v>UNH US Equity</v>
      </c>
      <c r="C47" t="s">
        <v>151</v>
      </c>
      <c r="D47" s="2" t="e">
        <f ca="1">_xll.BQL(B47, "expected_report_dt")</f>
        <v>#NAME?</v>
      </c>
      <c r="E47" t="e">
        <f ca="1">_xll.BQL(B47, "expected_report_time")</f>
        <v>#NAME?</v>
      </c>
      <c r="J47" s="2"/>
    </row>
    <row r="48" spans="1:10" x14ac:dyDescent="0.3">
      <c r="A48" t="s">
        <v>63</v>
      </c>
      <c r="B48" t="str">
        <f t="shared" si="1"/>
        <v>DAL US Equity</v>
      </c>
      <c r="C48" t="s">
        <v>176</v>
      </c>
      <c r="D48" s="2" t="e">
        <f ca="1">_xll.BQL(B48, "expected_report_dt")</f>
        <v>#NAME?</v>
      </c>
      <c r="E48" t="e">
        <f ca="1">_xll.BQL(B48, "expected_report_time")</f>
        <v>#NAME?</v>
      </c>
      <c r="J48" s="2"/>
    </row>
    <row r="49" spans="1:10" x14ac:dyDescent="0.3">
      <c r="A49" t="s">
        <v>36</v>
      </c>
      <c r="B49" t="str">
        <f t="shared" si="1"/>
        <v>GS US Equity</v>
      </c>
      <c r="C49" t="s">
        <v>149</v>
      </c>
      <c r="D49" s="2" t="e">
        <f ca="1">_xll.BQL(B49, "expected_report_dt")</f>
        <v>#NAME?</v>
      </c>
      <c r="E49" t="e">
        <f ca="1">_xll.BQL(B49, "expected_report_time")</f>
        <v>#NAME?</v>
      </c>
      <c r="J49" s="2"/>
    </row>
    <row r="50" spans="1:10" x14ac:dyDescent="0.3">
      <c r="A50" t="s">
        <v>47</v>
      </c>
      <c r="B50" t="str">
        <f t="shared" si="1"/>
        <v>JPM US Equity</v>
      </c>
      <c r="C50" t="s">
        <v>160</v>
      </c>
      <c r="D50" s="2" t="e">
        <f ca="1">_xll.BQL(B50, "expected_report_dt")</f>
        <v>#NAME?</v>
      </c>
      <c r="E50" t="e">
        <f ca="1">_xll.BQL(B50, "expected_report_time")</f>
        <v>#NAME?</v>
      </c>
      <c r="J50" s="2"/>
    </row>
    <row r="51" spans="1:10" x14ac:dyDescent="0.3">
      <c r="A51" t="s">
        <v>52</v>
      </c>
      <c r="B51" t="str">
        <f t="shared" si="1"/>
        <v>C US Equity</v>
      </c>
      <c r="C51" t="s">
        <v>165</v>
      </c>
      <c r="D51" s="2" t="e">
        <f ca="1">_xll.BQL(B51, "expected_report_dt")</f>
        <v>#NAME?</v>
      </c>
      <c r="E51" t="e">
        <f ca="1">_xll.BQL(B51, "expected_report_time")</f>
        <v>#NAME?</v>
      </c>
      <c r="J51" s="2"/>
    </row>
    <row r="52" spans="1:10" x14ac:dyDescent="0.3">
      <c r="A52" t="s">
        <v>88</v>
      </c>
      <c r="B52" t="str">
        <f t="shared" si="1"/>
        <v>WFC US Equity</v>
      </c>
      <c r="C52" t="s">
        <v>202</v>
      </c>
      <c r="D52" s="2" t="e">
        <f ca="1">_xll.BQL(B52, "expected_report_dt")</f>
        <v>#NAME?</v>
      </c>
      <c r="E52" t="e">
        <f ca="1">_xll.BQL(B52, "expected_report_time")</f>
        <v>#NAME?</v>
      </c>
      <c r="J52" s="2"/>
    </row>
    <row r="53" spans="1:10" x14ac:dyDescent="0.3">
      <c r="A53" t="s">
        <v>48</v>
      </c>
      <c r="B53" t="str">
        <f t="shared" si="1"/>
        <v>BAC US Equity</v>
      </c>
      <c r="C53" t="s">
        <v>161</v>
      </c>
      <c r="D53" s="2" t="e">
        <f ca="1">_xll.BQL(B53, "expected_report_dt")</f>
        <v>#NAME?</v>
      </c>
      <c r="E53" t="e">
        <f ca="1">_xll.BQL(B53, "expected_report_time")</f>
        <v>#NAME?</v>
      </c>
      <c r="J53" s="2"/>
    </row>
    <row r="54" spans="1:10" x14ac:dyDescent="0.3">
      <c r="A54" t="s">
        <v>59</v>
      </c>
      <c r="B54" t="str">
        <f t="shared" si="1"/>
        <v>AA US Equity</v>
      </c>
      <c r="C54" t="s">
        <v>172</v>
      </c>
      <c r="D54" s="2" t="e">
        <f ca="1">_xll.BQL(B54, "expected_report_dt")</f>
        <v>#NAME?</v>
      </c>
      <c r="E54" t="e">
        <f ca="1">_xll.BQL(B54, "expected_report_time")</f>
        <v>#NAME?</v>
      </c>
      <c r="J54" s="2"/>
    </row>
    <row r="55" spans="1:10" x14ac:dyDescent="0.3">
      <c r="A55" t="s">
        <v>15</v>
      </c>
      <c r="B55" t="str">
        <f t="shared" si="1"/>
        <v>TSM US Equity</v>
      </c>
      <c r="C55" t="s">
        <v>128</v>
      </c>
      <c r="D55" s="2" t="e">
        <f ca="1">_xll.BQL(B55, "expected_report_dt")</f>
        <v>#NAME?</v>
      </c>
      <c r="E55" t="e">
        <f ca="1">_xll.BQL(B55, "expected_report_time")</f>
        <v>#NAME?</v>
      </c>
      <c r="J55" s="2"/>
    </row>
    <row r="56" spans="1:10" x14ac:dyDescent="0.3">
      <c r="A56" t="s">
        <v>19</v>
      </c>
      <c r="B56" t="str">
        <f t="shared" si="1"/>
        <v>UAL US Equity</v>
      </c>
      <c r="C56" t="s">
        <v>132</v>
      </c>
      <c r="D56" s="2" t="e">
        <f ca="1">_xll.BQL(B56, "expected_report_dt")</f>
        <v>#NAME?</v>
      </c>
      <c r="E56" t="e">
        <f ca="1">_xll.BQL(B56, "expected_report_time")</f>
        <v>#NAME?</v>
      </c>
      <c r="J56" s="2"/>
    </row>
    <row r="57" spans="1:10" x14ac:dyDescent="0.3">
      <c r="A57" t="s">
        <v>65</v>
      </c>
      <c r="B57" t="str">
        <f t="shared" si="1"/>
        <v>JNJ US Equity</v>
      </c>
      <c r="C57" t="s">
        <v>178</v>
      </c>
      <c r="D57" s="2" t="e">
        <f ca="1">_xll.BQL(B57, "expected_report_dt")</f>
        <v>#NAME?</v>
      </c>
      <c r="E57" t="e">
        <f ca="1">_xll.BQL(B57, "expected_report_time")</f>
        <v>#NAME?</v>
      </c>
      <c r="J57" s="2"/>
    </row>
    <row r="58" spans="1:10" x14ac:dyDescent="0.3">
      <c r="A58" t="s">
        <v>75</v>
      </c>
      <c r="B58" t="str">
        <f t="shared" si="1"/>
        <v>PG US Equity</v>
      </c>
      <c r="C58" t="s">
        <v>188</v>
      </c>
      <c r="D58" s="2" t="e">
        <f ca="1">_xll.BQL(B58, "expected_report_dt")</f>
        <v>#NAME?</v>
      </c>
      <c r="E58" t="e">
        <f ca="1">_xll.BQL(B58, "expected_report_time")</f>
        <v>#NAME?</v>
      </c>
      <c r="J58" s="2"/>
    </row>
    <row r="59" spans="1:10" x14ac:dyDescent="0.3">
      <c r="A59" t="s">
        <v>6</v>
      </c>
      <c r="B59" t="str">
        <f t="shared" si="1"/>
        <v>NFLX US Equity</v>
      </c>
      <c r="C59" t="s">
        <v>119</v>
      </c>
      <c r="D59" s="2" t="e">
        <f ca="1">_xll.BQL(B59, "expected_report_dt")</f>
        <v>#NAME?</v>
      </c>
      <c r="E59" t="e">
        <f ca="1">_xll.BQL(B59, "expected_report_time")</f>
        <v>#NAME?</v>
      </c>
      <c r="J59" s="2"/>
    </row>
    <row r="60" spans="1:10" x14ac:dyDescent="0.3">
      <c r="A60" t="s">
        <v>26</v>
      </c>
      <c r="B60" t="str">
        <f t="shared" si="1"/>
        <v>GE US Equity</v>
      </c>
      <c r="C60" t="s">
        <v>139</v>
      </c>
      <c r="D60" s="2" t="e">
        <f ca="1">_xll.BQL(B60, "expected_report_dt")</f>
        <v>#NAME?</v>
      </c>
      <c r="E60" t="e">
        <f ca="1">_xll.BQL(B60, "expected_report_time")</f>
        <v>#NAME?</v>
      </c>
      <c r="J60" s="2"/>
    </row>
    <row r="61" spans="1:10" x14ac:dyDescent="0.3">
      <c r="A61" t="s">
        <v>27</v>
      </c>
      <c r="B61" t="str">
        <f t="shared" si="1"/>
        <v>MMM US Equity</v>
      </c>
      <c r="C61" t="s">
        <v>140</v>
      </c>
      <c r="D61" s="2" t="e">
        <f ca="1">_xll.BQL(B61, "expected_report_dt")</f>
        <v>#NAME?</v>
      </c>
      <c r="E61" t="e">
        <f ca="1">_xll.BQL(B61, "expected_report_time")</f>
        <v>#NAME?</v>
      </c>
      <c r="J61" s="2"/>
    </row>
    <row r="62" spans="1:10" x14ac:dyDescent="0.3">
      <c r="A62" t="s">
        <v>3</v>
      </c>
      <c r="B62" t="str">
        <f t="shared" si="1"/>
        <v>TSLA US Equity</v>
      </c>
      <c r="C62" t="s">
        <v>116</v>
      </c>
      <c r="D62" s="2" t="e">
        <f ca="1">_xll.BQL(B62, "expected_report_dt")</f>
        <v>#NAME?</v>
      </c>
      <c r="E62" t="e">
        <f ca="1">_xll.BQL(B62, "expected_report_time")</f>
        <v>#NAME?</v>
      </c>
      <c r="J62" s="2"/>
    </row>
    <row r="63" spans="1:10" x14ac:dyDescent="0.3">
      <c r="A63" t="s">
        <v>33</v>
      </c>
      <c r="B63" t="str">
        <f t="shared" si="1"/>
        <v>VZ US Equity</v>
      </c>
      <c r="C63" t="s">
        <v>146</v>
      </c>
      <c r="D63" s="2" t="e">
        <f ca="1">_xll.BQL(B63, "expected_report_dt")</f>
        <v>#NAME?</v>
      </c>
      <c r="E63" t="e">
        <f ca="1">_xll.BQL(B63, "expected_report_time")</f>
        <v>#NAME?</v>
      </c>
      <c r="J63" s="2"/>
    </row>
    <row r="64" spans="1:10" x14ac:dyDescent="0.3">
      <c r="A64" t="s">
        <v>40</v>
      </c>
      <c r="B64" t="str">
        <f t="shared" si="1"/>
        <v>INTC US Equity</v>
      </c>
      <c r="C64" t="s">
        <v>153</v>
      </c>
      <c r="D64" s="2" t="e">
        <f ca="1">_xll.BQL(B64, "expected_report_dt")</f>
        <v>#NAME?</v>
      </c>
      <c r="E64" t="e">
        <f ca="1">_xll.BQL(B64, "expected_report_time")</f>
        <v>#NAME?</v>
      </c>
      <c r="J64" s="2"/>
    </row>
    <row r="65" spans="1:10" x14ac:dyDescent="0.3">
      <c r="A65" t="s">
        <v>61</v>
      </c>
      <c r="B65" t="str">
        <f t="shared" si="1"/>
        <v>AAL US Equity</v>
      </c>
      <c r="C65" t="s">
        <v>174</v>
      </c>
      <c r="D65" s="2" t="e">
        <f ca="1">_xll.BQL(B65, "expected_report_dt")</f>
        <v>#NAME?</v>
      </c>
      <c r="E65" t="e">
        <f ca="1">_xll.BQL(B65, "expected_report_time")</f>
        <v>#NAME?</v>
      </c>
      <c r="J65" s="2"/>
    </row>
    <row r="66" spans="1:10" x14ac:dyDescent="0.3">
      <c r="A66" t="s">
        <v>83</v>
      </c>
      <c r="B66" t="str">
        <f t="shared" ref="B66:B97" si="2">A66&amp;" US Equity"</f>
        <v>V US Equity</v>
      </c>
      <c r="C66" t="s">
        <v>197</v>
      </c>
      <c r="D66" s="2" t="e">
        <f ca="1">_xll.BQL(B66, "expected_report_dt")</f>
        <v>#NAME?</v>
      </c>
      <c r="E66" t="e">
        <f ca="1">_xll.BQL(B66, "expected_report_time")</f>
        <v>#NAME?</v>
      </c>
      <c r="J66" s="2"/>
    </row>
    <row r="67" spans="1:10" x14ac:dyDescent="0.3">
      <c r="A67" t="s">
        <v>100</v>
      </c>
      <c r="B67" t="str">
        <f t="shared" si="2"/>
        <v>T US Equity</v>
      </c>
      <c r="C67" t="s">
        <v>214</v>
      </c>
      <c r="D67" s="2" t="e">
        <f ca="1">_xll.BQL(B67, "expected_report_dt")</f>
        <v>#NAME?</v>
      </c>
      <c r="E67" t="e">
        <f ca="1">_xll.BQL(B67, "expected_report_time")</f>
        <v>#NAME?</v>
      </c>
      <c r="J67" s="2"/>
    </row>
    <row r="68" spans="1:10" x14ac:dyDescent="0.3">
      <c r="A68" t="s">
        <v>69</v>
      </c>
      <c r="B68" t="str">
        <f t="shared" si="2"/>
        <v>AXP US Equity</v>
      </c>
      <c r="C68" t="s">
        <v>182</v>
      </c>
      <c r="D68" s="2" t="e">
        <f ca="1">_xll.BQL(B68, "expected_report_dt")</f>
        <v>#NAME?</v>
      </c>
      <c r="E68" t="e">
        <f ca="1">_xll.BQL(B68, "expected_report_time")</f>
        <v>#NAME?</v>
      </c>
      <c r="J68" s="2"/>
    </row>
    <row r="69" spans="1:10" x14ac:dyDescent="0.3">
      <c r="A69" t="s">
        <v>18</v>
      </c>
      <c r="B69" t="str">
        <f t="shared" si="2"/>
        <v>GM US Equity</v>
      </c>
      <c r="C69" t="s">
        <v>131</v>
      </c>
      <c r="D69" s="2" t="e">
        <f ca="1">_xll.BQL(B69, "expected_report_dt")</f>
        <v>#NAME?</v>
      </c>
      <c r="E69" t="e">
        <f ca="1">_xll.BQL(B69, "expected_report_time")</f>
        <v>#NAME?</v>
      </c>
      <c r="J69" s="2"/>
    </row>
    <row r="70" spans="1:10" x14ac:dyDescent="0.3">
      <c r="A70" t="s">
        <v>9</v>
      </c>
      <c r="B70" t="str">
        <f t="shared" si="2"/>
        <v>ASML US Equity</v>
      </c>
      <c r="C70" t="s">
        <v>122</v>
      </c>
      <c r="D70" s="2" t="e">
        <f ca="1">_xll.BQL(B70, "expected_report_dt")</f>
        <v>#NAME?</v>
      </c>
      <c r="E70" t="e">
        <f ca="1">_xll.BQL(B70, "expected_report_time")</f>
        <v>#NAME?</v>
      </c>
      <c r="J70" s="2"/>
    </row>
    <row r="71" spans="1:10" x14ac:dyDescent="0.3">
      <c r="A71" t="s">
        <v>43</v>
      </c>
      <c r="B71" t="str">
        <f t="shared" si="2"/>
        <v>SOFI US Equity</v>
      </c>
      <c r="C71" t="s">
        <v>156</v>
      </c>
      <c r="D71" s="2" t="e">
        <f ca="1">_xll.BQL(B71, "expected_report_dt")</f>
        <v>#NAME?</v>
      </c>
      <c r="E71" t="e">
        <f ca="1">_xll.BQL(B71, "expected_report_time")</f>
        <v>#NAME?</v>
      </c>
      <c r="J71" s="2"/>
    </row>
    <row r="72" spans="1:10" x14ac:dyDescent="0.3">
      <c r="A72" t="s">
        <v>50</v>
      </c>
      <c r="B72" t="str">
        <f t="shared" si="2"/>
        <v>IBM US Equity</v>
      </c>
      <c r="C72" t="s">
        <v>163</v>
      </c>
      <c r="D72" s="2" t="e">
        <f ca="1">_xll.BQL(B72, "expected_report_dt")</f>
        <v>#NAME?</v>
      </c>
      <c r="E72" t="e">
        <f ca="1">_xll.BQL(B72, "expected_report_time")</f>
        <v>#NAME?</v>
      </c>
      <c r="J72" s="2"/>
    </row>
    <row r="73" spans="1:10" x14ac:dyDescent="0.3">
      <c r="A73" t="s">
        <v>10</v>
      </c>
      <c r="B73" t="str">
        <f t="shared" si="2"/>
        <v>MSFT US Equity</v>
      </c>
      <c r="C73" t="s">
        <v>123</v>
      </c>
      <c r="D73" s="2" t="e">
        <f ca="1">_xll.BQL(B73, "expected_report_dt")</f>
        <v>#NAME?</v>
      </c>
      <c r="E73" t="e">
        <f ca="1">_xll.BQL(B73, "expected_report_time")</f>
        <v>#NAME?</v>
      </c>
      <c r="J73" s="2"/>
    </row>
    <row r="74" spans="1:10" x14ac:dyDescent="0.3">
      <c r="A74" t="s">
        <v>13</v>
      </c>
      <c r="B74" t="str">
        <f t="shared" si="2"/>
        <v>AAPL US Equity</v>
      </c>
      <c r="C74" t="s">
        <v>126</v>
      </c>
      <c r="D74" s="2" t="e">
        <f ca="1">_xll.BQL(B74, "expected_report_dt")</f>
        <v>#NAME?</v>
      </c>
      <c r="E74" t="e">
        <f ca="1">_xll.BQL(B74, "expected_report_time")</f>
        <v>#NAME?</v>
      </c>
      <c r="J74" s="2"/>
    </row>
    <row r="75" spans="1:10" x14ac:dyDescent="0.3">
      <c r="A75" t="s">
        <v>16</v>
      </c>
      <c r="B75" t="str">
        <f t="shared" si="2"/>
        <v>AMD US Equity</v>
      </c>
      <c r="C75" t="s">
        <v>129</v>
      </c>
      <c r="D75" s="2" t="e">
        <f ca="1">_xll.BQL(B75, "expected_report_dt")</f>
        <v>#NAME?</v>
      </c>
      <c r="E75" t="e">
        <f ca="1">_xll.BQL(B75, "expected_report_time")</f>
        <v>#NAME?</v>
      </c>
      <c r="J75" s="2"/>
    </row>
    <row r="76" spans="1:10" x14ac:dyDescent="0.3">
      <c r="A76" t="s">
        <v>23</v>
      </c>
      <c r="B76" t="str">
        <f t="shared" si="2"/>
        <v>GOOGL US Equity</v>
      </c>
      <c r="C76" t="s">
        <v>136</v>
      </c>
      <c r="D76" s="2" t="e">
        <f ca="1">_xll.BQL(B76, "expected_report_dt")</f>
        <v>#NAME?</v>
      </c>
      <c r="E76" t="e">
        <f ca="1">_xll.BQL(B76, "expected_report_time")</f>
        <v>#NAME?</v>
      </c>
      <c r="J76" s="2"/>
    </row>
    <row r="77" spans="1:10" x14ac:dyDescent="0.3">
      <c r="A77" t="s">
        <v>64</v>
      </c>
      <c r="B77" t="str">
        <f t="shared" si="2"/>
        <v>PFE US Equity</v>
      </c>
      <c r="C77" t="s">
        <v>177</v>
      </c>
      <c r="D77" s="2" t="e">
        <f ca="1">_xll.BQL(B77, "expected_report_dt")</f>
        <v>#NAME?</v>
      </c>
      <c r="E77" t="e">
        <f ca="1">_xll.BQL(B77, "expected_report_time")</f>
        <v>#NAME?</v>
      </c>
      <c r="J77" s="2"/>
    </row>
    <row r="78" spans="1:10" x14ac:dyDescent="0.3">
      <c r="A78" t="s">
        <v>76</v>
      </c>
      <c r="B78" t="str">
        <f t="shared" si="2"/>
        <v>GOOG US Equity</v>
      </c>
      <c r="C78" t="s">
        <v>189</v>
      </c>
      <c r="D78" s="2" t="e">
        <f ca="1">_xll.BQL(B78, "expected_report_dt")</f>
        <v>#NAME?</v>
      </c>
      <c r="E78" t="e">
        <f ca="1">_xll.BQL(B78, "expected_report_time")</f>
        <v>#NAME?</v>
      </c>
      <c r="J78" s="2"/>
    </row>
    <row r="79" spans="1:10" x14ac:dyDescent="0.3">
      <c r="A79" t="s">
        <v>14</v>
      </c>
      <c r="B79" t="str">
        <f t="shared" si="2"/>
        <v>AMZN US Equity</v>
      </c>
      <c r="C79" t="s">
        <v>127</v>
      </c>
      <c r="D79" s="2" t="e">
        <f ca="1">_xll.BQL(B79, "expected_report_dt")</f>
        <v>#NAME?</v>
      </c>
      <c r="E79" t="e">
        <f ca="1">_xll.BQL(B79, "expected_report_time")</f>
        <v>#NAME?</v>
      </c>
      <c r="J79" s="2"/>
    </row>
    <row r="80" spans="1:10" x14ac:dyDescent="0.3">
      <c r="A80" t="s">
        <v>24</v>
      </c>
      <c r="B80" t="str">
        <f t="shared" si="2"/>
        <v>BA US Equity</v>
      </c>
      <c r="C80" t="s">
        <v>137</v>
      </c>
      <c r="D80" s="2" t="e">
        <f ca="1">_xll.BQL(B80, "expected_report_dt")</f>
        <v>#NAME?</v>
      </c>
      <c r="E80" t="e">
        <f ca="1">_xll.BQL(B80, "expected_report_time")</f>
        <v>#NAME?</v>
      </c>
      <c r="J80" s="2"/>
    </row>
    <row r="81" spans="1:10" x14ac:dyDescent="0.3">
      <c r="A81" t="s">
        <v>25</v>
      </c>
      <c r="B81" t="str">
        <f t="shared" si="2"/>
        <v>META US Equity</v>
      </c>
      <c r="C81" t="s">
        <v>138</v>
      </c>
      <c r="D81" s="2" t="e">
        <f ca="1">_xll.BQL(B81, "expected_report_dt")</f>
        <v>#NAME?</v>
      </c>
      <c r="E81" t="e">
        <f ca="1">_xll.BQL(B81, "expected_report_time")</f>
        <v>#NAME?</v>
      </c>
      <c r="J81" s="2"/>
    </row>
    <row r="82" spans="1:10" x14ac:dyDescent="0.3">
      <c r="A82" t="s">
        <v>32</v>
      </c>
      <c r="B82" t="str">
        <f t="shared" si="2"/>
        <v>PTON US Equity</v>
      </c>
      <c r="C82" t="s">
        <v>145</v>
      </c>
      <c r="D82" s="2" t="e">
        <f ca="1">_xll.BQL(B82, "expected_report_dt")</f>
        <v>#NAME?</v>
      </c>
      <c r="E82" t="e">
        <f ca="1">_xll.BQL(B82, "expected_report_time")</f>
        <v>#NAME?</v>
      </c>
      <c r="J82" s="2"/>
    </row>
    <row r="83" spans="1:10" x14ac:dyDescent="0.3">
      <c r="A83" t="s">
        <v>68</v>
      </c>
      <c r="B83" t="str">
        <f t="shared" si="2"/>
        <v>XOM US Equity</v>
      </c>
      <c r="C83" t="s">
        <v>181</v>
      </c>
      <c r="D83" s="2" t="e">
        <f ca="1">_xll.BQL(B83, "expected_report_dt")</f>
        <v>#NAME?</v>
      </c>
      <c r="E83" t="e">
        <f ca="1">_xll.BQL(B83, "expected_report_time")</f>
        <v>#NAME?</v>
      </c>
      <c r="J83" s="2"/>
    </row>
    <row r="84" spans="1:10" x14ac:dyDescent="0.3">
      <c r="A84" t="s">
        <v>79</v>
      </c>
      <c r="B84" t="str">
        <f t="shared" si="2"/>
        <v>CVX US Equity</v>
      </c>
      <c r="C84" t="s">
        <v>192</v>
      </c>
      <c r="D84" s="2" t="e">
        <f ca="1">_xll.BQL(B84, "expected_report_dt")</f>
        <v>#NAME?</v>
      </c>
      <c r="E84" t="e">
        <f ca="1">_xll.BQL(B84, "expected_report_time")</f>
        <v>#NAME?</v>
      </c>
      <c r="J84" s="2"/>
    </row>
    <row r="85" spans="1:10" x14ac:dyDescent="0.3">
      <c r="A85" t="s">
        <v>66</v>
      </c>
      <c r="B85" t="str">
        <f t="shared" si="2"/>
        <v>PYPL US Equity</v>
      </c>
      <c r="C85" t="s">
        <v>179</v>
      </c>
      <c r="D85" s="2" t="e">
        <f ca="1">_xll.BQL(B85, "expected_report_dt")</f>
        <v>#NAME?</v>
      </c>
      <c r="E85" t="e">
        <f ca="1">_xll.BQL(B85, "expected_report_time")</f>
        <v>#NAME?</v>
      </c>
      <c r="J85" s="2"/>
    </row>
    <row r="86" spans="1:10" x14ac:dyDescent="0.3">
      <c r="A86" t="s">
        <v>80</v>
      </c>
      <c r="B86" t="str">
        <f t="shared" si="2"/>
        <v>MRK US Equity</v>
      </c>
      <c r="C86" t="s">
        <v>193</v>
      </c>
      <c r="D86" s="2" t="e">
        <f ca="1">_xll.BQL(B86, "expected_report_dt")</f>
        <v>#NAME?</v>
      </c>
      <c r="E86" t="e">
        <f ca="1">_xll.BQL(B86, "expected_report_time")</f>
        <v>#NAME?</v>
      </c>
      <c r="J86" s="2"/>
    </row>
    <row r="87" spans="1:10" x14ac:dyDescent="0.3">
      <c r="A87" t="s">
        <v>8</v>
      </c>
      <c r="B87" t="str">
        <f t="shared" si="2"/>
        <v>MCD US Equity</v>
      </c>
      <c r="C87" t="s">
        <v>121</v>
      </c>
      <c r="D87" s="2" t="e">
        <f ca="1">_xll.BQL(B87, "expected_report_dt")</f>
        <v>#NAME?</v>
      </c>
      <c r="E87" t="e">
        <f ca="1">_xll.BQL(B87, "expected_report_time")</f>
        <v>#NAME?</v>
      </c>
      <c r="J87" s="2"/>
    </row>
    <row r="88" spans="1:10" x14ac:dyDescent="0.3">
      <c r="A88" t="s">
        <v>86</v>
      </c>
      <c r="B88" t="str">
        <f t="shared" si="2"/>
        <v>CAT US Equity</v>
      </c>
      <c r="C88" t="s">
        <v>200</v>
      </c>
      <c r="D88" s="2" t="e">
        <f ca="1">_xll.BQL(B88, "expected_report_dt")</f>
        <v>#NAME?</v>
      </c>
      <c r="E88" t="e">
        <f ca="1">_xll.BQL(B88, "expected_report_time")</f>
        <v>#NAME?</v>
      </c>
      <c r="J88" s="2"/>
    </row>
    <row r="89" spans="1:10" x14ac:dyDescent="0.3">
      <c r="A89" t="s">
        <v>4</v>
      </c>
      <c r="B89" t="str">
        <f t="shared" si="2"/>
        <v>MSTR US Equity</v>
      </c>
      <c r="C89" t="s">
        <v>117</v>
      </c>
      <c r="D89" s="2" t="e">
        <f ca="1">_xll.BQL(B89, "expected_report_dt")</f>
        <v>#NAME?</v>
      </c>
      <c r="E89" t="e">
        <f ca="1">_xll.BQL(B89, "expected_report_time")</f>
        <v>#NAME?</v>
      </c>
      <c r="J89" s="2"/>
    </row>
    <row r="90" spans="1:10" x14ac:dyDescent="0.3">
      <c r="A90" t="s">
        <v>56</v>
      </c>
      <c r="B90" t="str">
        <f t="shared" si="2"/>
        <v>SNAP US Equity</v>
      </c>
      <c r="C90" t="s">
        <v>169</v>
      </c>
      <c r="D90" s="2" t="e">
        <f ca="1">_xll.BQL(B90, "expected_report_dt")</f>
        <v>#NAME?</v>
      </c>
      <c r="E90" t="e">
        <f ca="1">_xll.BQL(B90, "expected_report_time")</f>
        <v>#NAME?</v>
      </c>
      <c r="J90" s="2"/>
    </row>
    <row r="91" spans="1:10" x14ac:dyDescent="0.3">
      <c r="A91" t="s">
        <v>67</v>
      </c>
      <c r="B91" t="str">
        <f t="shared" si="2"/>
        <v>F US Equity</v>
      </c>
      <c r="C91" t="s">
        <v>180</v>
      </c>
      <c r="D91" s="2" t="e">
        <f ca="1">_xll.BQL(B91, "expected_report_dt")</f>
        <v>#NAME?</v>
      </c>
      <c r="E91" t="e">
        <f ca="1">_xll.BQL(B91, "expected_report_time")</f>
        <v>#NAME?</v>
      </c>
      <c r="J91" s="2"/>
    </row>
    <row r="92" spans="1:10" x14ac:dyDescent="0.3">
      <c r="A92" t="s">
        <v>87</v>
      </c>
      <c r="B92" t="str">
        <f t="shared" si="2"/>
        <v>LLY US Equity</v>
      </c>
      <c r="C92" t="s">
        <v>201</v>
      </c>
      <c r="D92" s="2" t="e">
        <f ca="1">_xll.BQL(B92, "expected_report_dt")</f>
        <v>#NAME?</v>
      </c>
      <c r="E92" t="e">
        <f ca="1">_xll.BQL(B92, "expected_report_time")</f>
        <v>#NAME?</v>
      </c>
      <c r="J92" s="2"/>
    </row>
    <row r="93" spans="1:10" x14ac:dyDescent="0.3">
      <c r="A93" t="s">
        <v>34</v>
      </c>
      <c r="B93" t="str">
        <f t="shared" si="2"/>
        <v>UBER US Equity</v>
      </c>
      <c r="C93" t="s">
        <v>147</v>
      </c>
      <c r="D93" s="2" t="e">
        <f ca="1">_xll.BQL(B93, "expected_report_dt")</f>
        <v>#NAME?</v>
      </c>
      <c r="E93" t="e">
        <f ca="1">_xll.BQL(B93, "expected_report_time")</f>
        <v>#NAME?</v>
      </c>
      <c r="J93" s="2"/>
    </row>
    <row r="94" spans="1:10" x14ac:dyDescent="0.3">
      <c r="A94" t="s">
        <v>39</v>
      </c>
      <c r="B94" t="str">
        <f t="shared" si="2"/>
        <v>HOOD US Equity</v>
      </c>
      <c r="C94" t="s">
        <v>152</v>
      </c>
      <c r="D94" s="2" t="e">
        <f ca="1">_xll.BQL(B94, "expected_report_dt")</f>
        <v>#NAME?</v>
      </c>
      <c r="E94" t="e">
        <f ca="1">_xll.BQL(B94, "expected_report_time")</f>
        <v>#NAME?</v>
      </c>
      <c r="J94" s="2"/>
    </row>
    <row r="95" spans="1:10" x14ac:dyDescent="0.3">
      <c r="A95" t="s">
        <v>81</v>
      </c>
      <c r="B95" t="str">
        <f t="shared" si="2"/>
        <v>KO US Equity</v>
      </c>
      <c r="C95" t="s">
        <v>194</v>
      </c>
      <c r="D95" s="2" t="e">
        <f ca="1">_xll.BQL(B95, "expected_report_dt")</f>
        <v>#NAME?</v>
      </c>
      <c r="E95" t="e">
        <f ca="1">_xll.BQL(B95, "expected_report_time")</f>
        <v>#NAME?</v>
      </c>
    </row>
    <row r="96" spans="1:10" x14ac:dyDescent="0.3">
      <c r="A96" t="s">
        <v>5</v>
      </c>
      <c r="B96" t="str">
        <f t="shared" si="2"/>
        <v>COIN US Equity</v>
      </c>
      <c r="C96" t="s">
        <v>118</v>
      </c>
      <c r="D96" s="2" t="e">
        <f ca="1">_xll.BQL(B96, "expected_report_dt")</f>
        <v>#NAME?</v>
      </c>
      <c r="E96" t="e">
        <f ca="1">_xll.BQL(B96, "expected_report_time")</f>
        <v>#NAME?</v>
      </c>
      <c r="J96" s="2"/>
    </row>
    <row r="97" spans="1:10" x14ac:dyDescent="0.3">
      <c r="A97" t="s">
        <v>229</v>
      </c>
      <c r="B97" t="str">
        <f t="shared" si="2"/>
        <v>RDDT US Equity</v>
      </c>
      <c r="C97" t="s">
        <v>195</v>
      </c>
      <c r="D97" s="2" t="e">
        <f ca="1">_xll.BQL(B97, "expected_report_dt")</f>
        <v>#NAME?</v>
      </c>
      <c r="E97" t="e">
        <f ca="1">_xll.BQL(B97, "expected_report_time")</f>
        <v>#NAME?</v>
      </c>
      <c r="J97" s="2"/>
    </row>
    <row r="98" spans="1:10" x14ac:dyDescent="0.3">
      <c r="A98" t="s">
        <v>22</v>
      </c>
      <c r="B98" t="str">
        <f t="shared" ref="B98:B101" si="3">A98&amp;" US Equity"</f>
        <v>RIOT US Equity</v>
      </c>
      <c r="C98" t="s">
        <v>135</v>
      </c>
      <c r="D98" s="2" t="e">
        <f ca="1">_xll.BQL(B98, "expected_report_dt")</f>
        <v>#NAME?</v>
      </c>
      <c r="E98" t="e">
        <f ca="1">_xll.BQL(B98, "expected_report_time")</f>
        <v>#NAME?</v>
      </c>
    </row>
    <row r="99" spans="1:10" x14ac:dyDescent="0.3">
      <c r="A99" t="s">
        <v>95</v>
      </c>
      <c r="B99" t="str">
        <f t="shared" si="3"/>
        <v>EBAY US Equity</v>
      </c>
      <c r="C99" t="s">
        <v>209</v>
      </c>
      <c r="D99" s="2" t="e">
        <f ca="1">_xll.BQL(B99, "expected_report_dt")</f>
        <v>#NAME?</v>
      </c>
      <c r="E99" t="e">
        <f ca="1">_xll.BQL(B99, "expected_report_time")</f>
        <v>#NAME?</v>
      </c>
      <c r="J99" s="2"/>
    </row>
    <row r="100" spans="1:10" x14ac:dyDescent="0.3">
      <c r="A100" t="s">
        <v>82</v>
      </c>
      <c r="B100" t="str">
        <f t="shared" si="3"/>
        <v>BRK.B US Equity</v>
      </c>
      <c r="C100" t="s">
        <v>196</v>
      </c>
      <c r="D100" s="2" t="e">
        <f ca="1">_xll.BQL(B100, "expected_report_dt")</f>
        <v>#NAME?</v>
      </c>
      <c r="E100" t="e">
        <f ca="1">_xll.BQL(B100, "expected_report_time")</f>
        <v>#NAME?</v>
      </c>
      <c r="J100" s="2"/>
    </row>
    <row r="101" spans="1:10" x14ac:dyDescent="0.3">
      <c r="A101" t="s">
        <v>85</v>
      </c>
      <c r="B101" t="str">
        <f t="shared" si="3"/>
        <v>USO US Equity</v>
      </c>
      <c r="C101" t="s">
        <v>199</v>
      </c>
      <c r="D101" s="2" t="e">
        <f ca="1">_xll.BQL(B101, "expected_report_dt")</f>
        <v>#NAME?</v>
      </c>
      <c r="E101" t="e">
        <f ca="1">_xll.BQL(B101, "expected_report_time")</f>
        <v>#NAME?</v>
      </c>
      <c r="J101" s="2"/>
    </row>
    <row r="102" spans="1:10" x14ac:dyDescent="0.3">
      <c r="A102" t="s">
        <v>230</v>
      </c>
      <c r="B102" t="str">
        <f t="shared" ref="B102:B116" si="4">A102&amp;" US Equity"</f>
        <v>Indexes / ETFs / ETPs US Equity</v>
      </c>
      <c r="D102" s="2"/>
      <c r="J102" s="2"/>
    </row>
    <row r="103" spans="1:10" x14ac:dyDescent="0.3">
      <c r="A103" t="s">
        <v>101</v>
      </c>
      <c r="B103" t="str">
        <f t="shared" si="4"/>
        <v>TLT US Equity</v>
      </c>
      <c r="C103" t="s">
        <v>215</v>
      </c>
      <c r="D103" s="2"/>
      <c r="J103" s="2"/>
    </row>
    <row r="104" spans="1:10" x14ac:dyDescent="0.3">
      <c r="A104" t="s">
        <v>102</v>
      </c>
      <c r="B104" t="str">
        <f t="shared" si="4"/>
        <v>QQQ US Equity</v>
      </c>
      <c r="C104" t="s">
        <v>216</v>
      </c>
      <c r="D104" s="2"/>
      <c r="J104" s="2"/>
    </row>
    <row r="105" spans="1:10" x14ac:dyDescent="0.3">
      <c r="A105" t="s">
        <v>103</v>
      </c>
      <c r="B105" t="str">
        <f t="shared" si="4"/>
        <v>IWM US Equity</v>
      </c>
      <c r="C105" t="s">
        <v>217</v>
      </c>
      <c r="D105" s="2"/>
      <c r="J105" s="2"/>
    </row>
    <row r="106" spans="1:10" x14ac:dyDescent="0.3">
      <c r="A106" t="s">
        <v>104</v>
      </c>
      <c r="B106" t="str">
        <f t="shared" si="4"/>
        <v>SPY US Equity</v>
      </c>
      <c r="C106" t="s">
        <v>218</v>
      </c>
      <c r="D106" s="2"/>
      <c r="J106" s="2"/>
    </row>
    <row r="107" spans="1:10" x14ac:dyDescent="0.3">
      <c r="A107" t="s">
        <v>105</v>
      </c>
      <c r="B107" t="str">
        <f t="shared" si="4"/>
        <v>SLV US Equity</v>
      </c>
      <c r="C107" t="s">
        <v>219</v>
      </c>
      <c r="D107" s="2"/>
      <c r="J107" s="2"/>
    </row>
    <row r="108" spans="1:10" x14ac:dyDescent="0.3">
      <c r="A108" t="s">
        <v>106</v>
      </c>
      <c r="B108" t="str">
        <f t="shared" si="4"/>
        <v>SOXL US Equity</v>
      </c>
      <c r="C108" t="s">
        <v>220</v>
      </c>
      <c r="D108" s="2"/>
      <c r="J108" s="2"/>
    </row>
    <row r="109" spans="1:10" x14ac:dyDescent="0.3">
      <c r="A109" t="s">
        <v>107</v>
      </c>
      <c r="B109" t="str">
        <f t="shared" si="4"/>
        <v>VIXY US Equity</v>
      </c>
      <c r="C109" t="s">
        <v>221</v>
      </c>
      <c r="D109" s="2"/>
      <c r="J109" s="2"/>
    </row>
    <row r="110" spans="1:10" x14ac:dyDescent="0.3">
      <c r="A110" t="s">
        <v>108</v>
      </c>
      <c r="B110" t="str">
        <f t="shared" si="4"/>
        <v>TQQQ US Equity</v>
      </c>
      <c r="C110" t="s">
        <v>222</v>
      </c>
      <c r="D110" s="2"/>
      <c r="J110" s="2"/>
    </row>
    <row r="111" spans="1:10" x14ac:dyDescent="0.3">
      <c r="A111" t="s">
        <v>109</v>
      </c>
      <c r="B111" t="str">
        <f t="shared" si="4"/>
        <v>SVXY US Equity</v>
      </c>
      <c r="C111" t="s">
        <v>223</v>
      </c>
      <c r="D111" s="2"/>
      <c r="J111" s="2"/>
    </row>
    <row r="112" spans="1:10" x14ac:dyDescent="0.3">
      <c r="A112" t="s">
        <v>110</v>
      </c>
      <c r="B112" t="str">
        <f t="shared" si="4"/>
        <v>TMF US Equity</v>
      </c>
      <c r="C112" t="s">
        <v>224</v>
      </c>
      <c r="D112" s="2"/>
      <c r="J112" s="2"/>
    </row>
    <row r="113" spans="1:10" x14ac:dyDescent="0.3">
      <c r="A113" t="s">
        <v>111</v>
      </c>
      <c r="B113" t="str">
        <f t="shared" si="4"/>
        <v>DIA US Equity</v>
      </c>
      <c r="C113" t="s">
        <v>225</v>
      </c>
      <c r="D113" s="2"/>
      <c r="J113" s="2"/>
    </row>
    <row r="114" spans="1:10" x14ac:dyDescent="0.3">
      <c r="A114" t="s">
        <v>112</v>
      </c>
      <c r="B114" t="str">
        <f t="shared" si="4"/>
        <v>EEM US Equity</v>
      </c>
      <c r="C114" t="s">
        <v>226</v>
      </c>
      <c r="D114" s="2"/>
    </row>
    <row r="115" spans="1:10" x14ac:dyDescent="0.3">
      <c r="A115" t="s">
        <v>113</v>
      </c>
      <c r="B115" t="str">
        <f t="shared" si="4"/>
        <v>SQQQ US Equity</v>
      </c>
      <c r="C115" t="s">
        <v>227</v>
      </c>
      <c r="D115" s="2"/>
    </row>
    <row r="116" spans="1:10" x14ac:dyDescent="0.3">
      <c r="A116" t="s">
        <v>114</v>
      </c>
      <c r="B116" t="str">
        <f t="shared" si="4"/>
        <v>GLD US Equity</v>
      </c>
      <c r="C116" t="s">
        <v>228</v>
      </c>
      <c r="D116" s="2"/>
    </row>
  </sheetData>
  <sortState xmlns:xlrd2="http://schemas.microsoft.com/office/spreadsheetml/2017/richdata2" ref="A2:E101">
    <sortCondition ref="D2:D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FC6F-B38B-477F-A19C-ED36B4E1ECCE}">
  <dimension ref="B3:H103"/>
  <sheetViews>
    <sheetView tabSelected="1" topLeftCell="A4" workbookViewId="0">
      <selection activeCell="D11" sqref="D11"/>
    </sheetView>
  </sheetViews>
  <sheetFormatPr defaultRowHeight="14.4" x14ac:dyDescent="0.3"/>
  <cols>
    <col min="3" max="3" width="20.21875" customWidth="1"/>
    <col min="4" max="4" width="33.44140625" customWidth="1"/>
    <col min="5" max="5" width="32.5546875" customWidth="1"/>
    <col min="6" max="6" width="15.109375" customWidth="1"/>
  </cols>
  <sheetData>
    <row r="3" spans="2:8" x14ac:dyDescent="0.3">
      <c r="B3" t="s">
        <v>0</v>
      </c>
      <c r="C3" t="s">
        <v>243</v>
      </c>
      <c r="D3" t="s">
        <v>1</v>
      </c>
      <c r="E3" t="s">
        <v>242</v>
      </c>
      <c r="F3" t="s">
        <v>231</v>
      </c>
    </row>
    <row r="4" spans="2:8" s="4" customFormat="1" x14ac:dyDescent="0.3">
      <c r="B4" s="4" t="s">
        <v>28</v>
      </c>
      <c r="C4" s="4" t="s">
        <v>270</v>
      </c>
      <c r="D4" s="4" t="s">
        <v>141</v>
      </c>
      <c r="E4" s="5">
        <v>45600</v>
      </c>
      <c r="F4" s="4" t="s">
        <v>350</v>
      </c>
    </row>
    <row r="5" spans="2:8" x14ac:dyDescent="0.3">
      <c r="B5" t="s">
        <v>97</v>
      </c>
      <c r="C5" t="s">
        <v>340</v>
      </c>
      <c r="D5" t="s">
        <v>211</v>
      </c>
      <c r="E5" s="2">
        <v>45600</v>
      </c>
      <c r="F5" t="s">
        <v>351</v>
      </c>
    </row>
    <row r="6" spans="2:8" x14ac:dyDescent="0.3">
      <c r="B6" t="s">
        <v>7</v>
      </c>
      <c r="C6" t="s">
        <v>249</v>
      </c>
      <c r="D6" t="s">
        <v>120</v>
      </c>
      <c r="E6" s="2">
        <v>45601</v>
      </c>
      <c r="F6" t="s">
        <v>350</v>
      </c>
    </row>
    <row r="7" spans="2:8" x14ac:dyDescent="0.3">
      <c r="B7" t="s">
        <v>29</v>
      </c>
      <c r="C7" t="s">
        <v>271</v>
      </c>
      <c r="D7" t="s">
        <v>142</v>
      </c>
      <c r="E7" s="2">
        <v>45602</v>
      </c>
      <c r="F7" t="s">
        <v>350</v>
      </c>
    </row>
    <row r="8" spans="2:8" x14ac:dyDescent="0.3">
      <c r="B8" t="s">
        <v>37</v>
      </c>
      <c r="C8" t="s">
        <v>279</v>
      </c>
      <c r="D8" t="s">
        <v>150</v>
      </c>
      <c r="E8" s="2">
        <v>45602</v>
      </c>
      <c r="F8" t="s">
        <v>350</v>
      </c>
      <c r="H8" t="s">
        <v>359</v>
      </c>
    </row>
    <row r="9" spans="2:8" x14ac:dyDescent="0.3">
      <c r="B9" t="s">
        <v>72</v>
      </c>
      <c r="C9" t="s">
        <v>314</v>
      </c>
      <c r="D9" t="s">
        <v>185</v>
      </c>
      <c r="E9" s="2">
        <v>45602</v>
      </c>
      <c r="F9" t="s">
        <v>350</v>
      </c>
      <c r="H9" s="8" t="s">
        <v>360</v>
      </c>
    </row>
    <row r="10" spans="2:8" x14ac:dyDescent="0.3">
      <c r="B10" t="s">
        <v>84</v>
      </c>
      <c r="C10" t="s">
        <v>327</v>
      </c>
      <c r="D10" t="s">
        <v>198</v>
      </c>
      <c r="E10" s="2">
        <v>45602</v>
      </c>
      <c r="F10" t="s">
        <v>352</v>
      </c>
      <c r="H10" s="8" t="s">
        <v>362</v>
      </c>
    </row>
    <row r="11" spans="2:8" s="12" customFormat="1" x14ac:dyDescent="0.3">
      <c r="B11" s="12" t="s">
        <v>90</v>
      </c>
      <c r="C11" s="12" t="s">
        <v>333</v>
      </c>
      <c r="D11" s="12" t="s">
        <v>204</v>
      </c>
      <c r="E11" s="13">
        <v>45602</v>
      </c>
      <c r="F11" s="12" t="s">
        <v>350</v>
      </c>
      <c r="H11" s="14" t="s">
        <v>361</v>
      </c>
    </row>
    <row r="12" spans="2:8" x14ac:dyDescent="0.3">
      <c r="B12" t="s">
        <v>91</v>
      </c>
      <c r="C12" t="s">
        <v>334</v>
      </c>
      <c r="D12" t="s">
        <v>205</v>
      </c>
      <c r="E12" s="2">
        <v>45602</v>
      </c>
      <c r="F12" t="s">
        <v>350</v>
      </c>
      <c r="H12" s="8"/>
    </row>
    <row r="13" spans="2:8" s="6" customFormat="1" x14ac:dyDescent="0.3">
      <c r="B13" s="6" t="s">
        <v>94</v>
      </c>
      <c r="C13" s="6" t="s">
        <v>337</v>
      </c>
      <c r="D13" s="6" t="s">
        <v>208</v>
      </c>
      <c r="E13" s="7">
        <v>45602</v>
      </c>
      <c r="F13" s="6" t="s">
        <v>350</v>
      </c>
      <c r="H13" s="8"/>
    </row>
    <row r="14" spans="2:8" x14ac:dyDescent="0.3">
      <c r="B14" t="s">
        <v>11</v>
      </c>
      <c r="C14" t="s">
        <v>253</v>
      </c>
      <c r="D14" t="s">
        <v>124</v>
      </c>
      <c r="E14" s="2">
        <v>45603</v>
      </c>
      <c r="F14" t="s">
        <v>353</v>
      </c>
      <c r="H14" s="8"/>
    </row>
    <row r="15" spans="2:8" s="9" customFormat="1" x14ac:dyDescent="0.3">
      <c r="B15" s="9" t="s">
        <v>35</v>
      </c>
      <c r="C15" s="9" t="s">
        <v>277</v>
      </c>
      <c r="D15" s="9" t="s">
        <v>148</v>
      </c>
      <c r="E15" s="10">
        <v>45603</v>
      </c>
      <c r="F15" s="9" t="s">
        <v>350</v>
      </c>
      <c r="H15" s="11"/>
    </row>
    <row r="16" spans="2:8" x14ac:dyDescent="0.3">
      <c r="B16" t="s">
        <v>41</v>
      </c>
      <c r="C16" t="s">
        <v>283</v>
      </c>
      <c r="D16" t="s">
        <v>154</v>
      </c>
      <c r="E16" s="2">
        <v>45603</v>
      </c>
      <c r="F16" t="s">
        <v>350</v>
      </c>
      <c r="H16" s="8" t="s">
        <v>239</v>
      </c>
    </row>
    <row r="17" spans="2:8" x14ac:dyDescent="0.3">
      <c r="B17" t="s">
        <v>49</v>
      </c>
      <c r="C17" t="s">
        <v>291</v>
      </c>
      <c r="D17" t="s">
        <v>162</v>
      </c>
      <c r="E17" s="2">
        <v>45603</v>
      </c>
      <c r="F17" t="s">
        <v>351</v>
      </c>
      <c r="H17" s="8" t="s">
        <v>240</v>
      </c>
    </row>
    <row r="18" spans="2:8" x14ac:dyDescent="0.3">
      <c r="B18" t="s">
        <v>51</v>
      </c>
      <c r="C18" t="s">
        <v>293</v>
      </c>
      <c r="D18" t="s">
        <v>164</v>
      </c>
      <c r="E18" s="2">
        <v>45603</v>
      </c>
      <c r="F18" t="s">
        <v>350</v>
      </c>
      <c r="H18" s="8" t="s">
        <v>241</v>
      </c>
    </row>
    <row r="19" spans="2:8" x14ac:dyDescent="0.3">
      <c r="B19" t="s">
        <v>58</v>
      </c>
      <c r="C19" t="s">
        <v>300</v>
      </c>
      <c r="D19" t="s">
        <v>171</v>
      </c>
      <c r="E19" s="2">
        <v>45603</v>
      </c>
      <c r="F19" t="s">
        <v>350</v>
      </c>
    </row>
    <row r="20" spans="2:8" x14ac:dyDescent="0.3">
      <c r="B20" t="s">
        <v>77</v>
      </c>
      <c r="C20" t="s">
        <v>319</v>
      </c>
      <c r="D20" t="s">
        <v>190</v>
      </c>
      <c r="E20" s="2">
        <v>45603</v>
      </c>
      <c r="F20" t="s">
        <v>350</v>
      </c>
    </row>
    <row r="21" spans="2:8" s="6" customFormat="1" x14ac:dyDescent="0.3">
      <c r="B21" s="6" t="s">
        <v>96</v>
      </c>
      <c r="C21" s="6" t="s">
        <v>339</v>
      </c>
      <c r="D21" s="6" t="s">
        <v>210</v>
      </c>
      <c r="E21" s="7">
        <v>45603</v>
      </c>
      <c r="F21" s="6" t="s">
        <v>350</v>
      </c>
    </row>
    <row r="22" spans="2:8" x14ac:dyDescent="0.3">
      <c r="B22" t="s">
        <v>98</v>
      </c>
      <c r="C22" t="s">
        <v>341</v>
      </c>
      <c r="D22" t="s">
        <v>212</v>
      </c>
      <c r="E22" s="2">
        <v>45603</v>
      </c>
      <c r="F22" t="s">
        <v>350</v>
      </c>
    </row>
    <row r="23" spans="2:8" x14ac:dyDescent="0.3">
      <c r="B23" t="s">
        <v>70</v>
      </c>
      <c r="C23" t="s">
        <v>312</v>
      </c>
      <c r="D23" t="s">
        <v>183</v>
      </c>
      <c r="E23" s="2">
        <v>45604</v>
      </c>
      <c r="F23" t="s">
        <v>353</v>
      </c>
    </row>
    <row r="24" spans="2:8" x14ac:dyDescent="0.3">
      <c r="B24" t="s">
        <v>92</v>
      </c>
      <c r="C24" t="s">
        <v>335</v>
      </c>
      <c r="D24" t="s">
        <v>206</v>
      </c>
      <c r="E24" s="2">
        <v>45604</v>
      </c>
      <c r="F24" t="s">
        <v>351</v>
      </c>
    </row>
    <row r="25" spans="2:8" x14ac:dyDescent="0.3">
      <c r="B25" t="s">
        <v>31</v>
      </c>
      <c r="C25" t="s">
        <v>273</v>
      </c>
      <c r="D25" t="s">
        <v>144</v>
      </c>
      <c r="E25" s="2">
        <v>45605</v>
      </c>
      <c r="F25" t="s">
        <v>353</v>
      </c>
    </row>
    <row r="26" spans="2:8" x14ac:dyDescent="0.3">
      <c r="B26" t="s">
        <v>73</v>
      </c>
      <c r="C26" t="s">
        <v>315</v>
      </c>
      <c r="D26" t="s">
        <v>186</v>
      </c>
      <c r="E26" s="2">
        <v>45608</v>
      </c>
      <c r="F26" t="s">
        <v>351</v>
      </c>
    </row>
    <row r="27" spans="2:8" s="6" customFormat="1" x14ac:dyDescent="0.3">
      <c r="B27" s="6" t="s">
        <v>89</v>
      </c>
      <c r="C27" s="6" t="s">
        <v>332</v>
      </c>
      <c r="D27" s="6" t="s">
        <v>203</v>
      </c>
      <c r="E27" s="7">
        <v>45609</v>
      </c>
      <c r="F27" s="6" t="s">
        <v>350</v>
      </c>
    </row>
    <row r="28" spans="2:8" x14ac:dyDescent="0.3">
      <c r="B28" t="s">
        <v>30</v>
      </c>
      <c r="C28" t="s">
        <v>272</v>
      </c>
      <c r="D28" t="s">
        <v>143</v>
      </c>
      <c r="E28" s="2">
        <v>45610</v>
      </c>
      <c r="F28" t="s">
        <v>351</v>
      </c>
    </row>
    <row r="29" spans="2:8" x14ac:dyDescent="0.3">
      <c r="B29" t="s">
        <v>60</v>
      </c>
      <c r="C29" t="s">
        <v>302</v>
      </c>
      <c r="D29" t="s">
        <v>173</v>
      </c>
      <c r="E29" s="2">
        <v>45610</v>
      </c>
      <c r="F29" t="s">
        <v>351</v>
      </c>
    </row>
    <row r="30" spans="2:8" x14ac:dyDescent="0.3">
      <c r="B30" t="s">
        <v>20</v>
      </c>
      <c r="C30" t="s">
        <v>262</v>
      </c>
      <c r="D30" t="s">
        <v>133</v>
      </c>
      <c r="E30" s="2">
        <v>45611</v>
      </c>
      <c r="F30" t="s">
        <v>351</v>
      </c>
    </row>
    <row r="31" spans="2:8" x14ac:dyDescent="0.3">
      <c r="B31" t="s">
        <v>62</v>
      </c>
      <c r="C31" t="s">
        <v>304</v>
      </c>
      <c r="D31" t="s">
        <v>175</v>
      </c>
      <c r="E31" s="2">
        <v>45611</v>
      </c>
      <c r="F31" t="s">
        <v>353</v>
      </c>
    </row>
    <row r="32" spans="2:8" s="6" customFormat="1" x14ac:dyDescent="0.3">
      <c r="B32" s="6" t="s">
        <v>54</v>
      </c>
      <c r="C32" s="6" t="s">
        <v>296</v>
      </c>
      <c r="D32" s="6" t="s">
        <v>167</v>
      </c>
      <c r="E32" s="7">
        <v>45615</v>
      </c>
      <c r="F32" s="6" t="s">
        <v>354</v>
      </c>
    </row>
    <row r="33" spans="2:6" s="6" customFormat="1" x14ac:dyDescent="0.3">
      <c r="B33" s="6" t="s">
        <v>2</v>
      </c>
      <c r="C33" s="6" t="s">
        <v>244</v>
      </c>
      <c r="D33" s="6" t="s">
        <v>115</v>
      </c>
      <c r="E33" s="7">
        <v>45616</v>
      </c>
      <c r="F33" s="6" t="s">
        <v>355</v>
      </c>
    </row>
    <row r="34" spans="2:6" x14ac:dyDescent="0.3">
      <c r="B34" t="s">
        <v>45</v>
      </c>
      <c r="C34" t="s">
        <v>287</v>
      </c>
      <c r="D34" t="s">
        <v>158</v>
      </c>
      <c r="E34" s="2">
        <v>45616</v>
      </c>
      <c r="F34" t="s">
        <v>350</v>
      </c>
    </row>
    <row r="35" spans="2:6" x14ac:dyDescent="0.3">
      <c r="B35" t="s">
        <v>44</v>
      </c>
      <c r="C35" t="s">
        <v>286</v>
      </c>
      <c r="D35" t="s">
        <v>157</v>
      </c>
      <c r="E35" s="2">
        <v>45617</v>
      </c>
      <c r="F35" t="s">
        <v>351</v>
      </c>
    </row>
    <row r="36" spans="2:6" x14ac:dyDescent="0.3">
      <c r="B36" t="s">
        <v>99</v>
      </c>
      <c r="C36" t="s">
        <v>342</v>
      </c>
      <c r="D36" t="s">
        <v>213</v>
      </c>
      <c r="E36" s="2">
        <v>45617</v>
      </c>
      <c r="F36" t="s">
        <v>353</v>
      </c>
    </row>
    <row r="37" spans="2:6" x14ac:dyDescent="0.3">
      <c r="B37" t="s">
        <v>57</v>
      </c>
      <c r="C37" t="s">
        <v>299</v>
      </c>
      <c r="D37" t="s">
        <v>170</v>
      </c>
      <c r="E37" s="2">
        <v>45621</v>
      </c>
      <c r="F37" t="s">
        <v>350</v>
      </c>
    </row>
    <row r="38" spans="2:6" x14ac:dyDescent="0.3">
      <c r="B38" t="s">
        <v>93</v>
      </c>
      <c r="C38" t="s">
        <v>336</v>
      </c>
      <c r="D38" t="s">
        <v>207</v>
      </c>
      <c r="E38" s="2">
        <v>45622</v>
      </c>
      <c r="F38" t="s">
        <v>351</v>
      </c>
    </row>
    <row r="39" spans="2:6" x14ac:dyDescent="0.3">
      <c r="B39" t="s">
        <v>12</v>
      </c>
      <c r="C39" t="s">
        <v>254</v>
      </c>
      <c r="D39" t="s">
        <v>125</v>
      </c>
      <c r="E39" s="2">
        <v>45625</v>
      </c>
      <c r="F39" t="s">
        <v>353</v>
      </c>
    </row>
    <row r="40" spans="2:6" x14ac:dyDescent="0.3">
      <c r="B40" t="s">
        <v>46</v>
      </c>
      <c r="C40" t="s">
        <v>288</v>
      </c>
      <c r="D40" t="s">
        <v>159</v>
      </c>
      <c r="E40" s="2">
        <v>45625</v>
      </c>
      <c r="F40" t="s">
        <v>353</v>
      </c>
    </row>
    <row r="41" spans="2:6" x14ac:dyDescent="0.3">
      <c r="B41" t="s">
        <v>17</v>
      </c>
      <c r="C41" t="s">
        <v>259</v>
      </c>
      <c r="D41" t="s">
        <v>130</v>
      </c>
      <c r="E41" s="2">
        <v>45631</v>
      </c>
      <c r="F41" t="s">
        <v>353</v>
      </c>
    </row>
    <row r="42" spans="2:6" x14ac:dyDescent="0.3">
      <c r="B42" t="s">
        <v>71</v>
      </c>
      <c r="C42" t="s">
        <v>313</v>
      </c>
      <c r="D42" t="s">
        <v>184</v>
      </c>
      <c r="E42" s="2">
        <v>45632</v>
      </c>
      <c r="F42" t="s">
        <v>353</v>
      </c>
    </row>
    <row r="43" spans="2:6" x14ac:dyDescent="0.3">
      <c r="B43" t="s">
        <v>78</v>
      </c>
      <c r="C43" t="s">
        <v>320</v>
      </c>
      <c r="D43" t="s">
        <v>191</v>
      </c>
      <c r="E43" s="2">
        <v>45632</v>
      </c>
      <c r="F43" t="s">
        <v>353</v>
      </c>
    </row>
    <row r="44" spans="2:6" x14ac:dyDescent="0.3">
      <c r="B44" t="s">
        <v>74</v>
      </c>
      <c r="C44" t="s">
        <v>316</v>
      </c>
      <c r="D44" t="s">
        <v>187</v>
      </c>
      <c r="E44" s="2">
        <v>45637</v>
      </c>
      <c r="F44" t="s">
        <v>353</v>
      </c>
    </row>
    <row r="45" spans="2:6" x14ac:dyDescent="0.3">
      <c r="B45" t="s">
        <v>55</v>
      </c>
      <c r="C45" t="s">
        <v>297</v>
      </c>
      <c r="D45" t="s">
        <v>168</v>
      </c>
      <c r="E45" s="2">
        <v>45640</v>
      </c>
      <c r="F45" t="s">
        <v>350</v>
      </c>
    </row>
    <row r="46" spans="2:6" x14ac:dyDescent="0.3">
      <c r="B46" t="s">
        <v>21</v>
      </c>
      <c r="C46" t="s">
        <v>263</v>
      </c>
      <c r="D46" t="s">
        <v>134</v>
      </c>
      <c r="E46" s="2">
        <v>45646</v>
      </c>
      <c r="F46" t="s">
        <v>353</v>
      </c>
    </row>
    <row r="47" spans="2:6" x14ac:dyDescent="0.3">
      <c r="B47" t="s">
        <v>53</v>
      </c>
      <c r="C47" t="s">
        <v>295</v>
      </c>
      <c r="D47" t="s">
        <v>166</v>
      </c>
      <c r="E47" s="2">
        <v>45646</v>
      </c>
      <c r="F47" t="s">
        <v>353</v>
      </c>
    </row>
    <row r="48" spans="2:6" x14ac:dyDescent="0.3">
      <c r="B48" t="s">
        <v>42</v>
      </c>
      <c r="C48" t="s">
        <v>284</v>
      </c>
      <c r="D48" t="s">
        <v>155</v>
      </c>
      <c r="E48" s="2">
        <v>45666</v>
      </c>
      <c r="F48" t="s">
        <v>353</v>
      </c>
    </row>
    <row r="49" spans="2:6" x14ac:dyDescent="0.3">
      <c r="B49" t="s">
        <v>38</v>
      </c>
      <c r="C49" t="s">
        <v>280</v>
      </c>
      <c r="D49" t="s">
        <v>151</v>
      </c>
      <c r="E49" s="2">
        <v>45670</v>
      </c>
      <c r="F49" t="s">
        <v>353</v>
      </c>
    </row>
    <row r="50" spans="2:6" x14ac:dyDescent="0.3">
      <c r="B50" t="s">
        <v>63</v>
      </c>
      <c r="C50" t="s">
        <v>305</v>
      </c>
      <c r="D50" t="s">
        <v>176</v>
      </c>
      <c r="E50" s="2">
        <v>45670</v>
      </c>
      <c r="F50" t="s">
        <v>353</v>
      </c>
    </row>
    <row r="51" spans="2:6" s="6" customFormat="1" x14ac:dyDescent="0.3">
      <c r="B51" s="6" t="s">
        <v>36</v>
      </c>
      <c r="C51" s="6" t="s">
        <v>278</v>
      </c>
      <c r="D51" s="6" t="s">
        <v>149</v>
      </c>
      <c r="E51" s="7">
        <v>45672</v>
      </c>
      <c r="F51" s="6" t="s">
        <v>356</v>
      </c>
    </row>
    <row r="52" spans="2:6" s="6" customFormat="1" x14ac:dyDescent="0.3">
      <c r="B52" s="6" t="s">
        <v>47</v>
      </c>
      <c r="C52" s="6" t="s">
        <v>289</v>
      </c>
      <c r="D52" s="6" t="s">
        <v>160</v>
      </c>
      <c r="E52" s="7">
        <v>45672</v>
      </c>
      <c r="F52" s="6" t="s">
        <v>357</v>
      </c>
    </row>
    <row r="53" spans="2:6" s="6" customFormat="1" x14ac:dyDescent="0.3">
      <c r="B53" s="6" t="s">
        <v>52</v>
      </c>
      <c r="C53" s="6" t="s">
        <v>294</v>
      </c>
      <c r="D53" s="6" t="s">
        <v>165</v>
      </c>
      <c r="E53" s="7">
        <v>45672</v>
      </c>
      <c r="F53" s="6" t="s">
        <v>358</v>
      </c>
    </row>
    <row r="54" spans="2:6" x14ac:dyDescent="0.3">
      <c r="B54" t="s">
        <v>88</v>
      </c>
      <c r="C54" t="s">
        <v>331</v>
      </c>
      <c r="D54" t="s">
        <v>202</v>
      </c>
      <c r="E54" s="2">
        <v>45672</v>
      </c>
      <c r="F54" t="s">
        <v>354</v>
      </c>
    </row>
    <row r="55" spans="2:6" x14ac:dyDescent="0.3">
      <c r="B55" t="s">
        <v>48</v>
      </c>
      <c r="C55" t="s">
        <v>290</v>
      </c>
      <c r="D55" t="s">
        <v>161</v>
      </c>
      <c r="E55" s="2">
        <v>45673</v>
      </c>
      <c r="F55" t="s">
        <v>357</v>
      </c>
    </row>
    <row r="56" spans="2:6" x14ac:dyDescent="0.3">
      <c r="B56" t="s">
        <v>59</v>
      </c>
      <c r="C56" t="s">
        <v>301</v>
      </c>
      <c r="D56" t="s">
        <v>172</v>
      </c>
      <c r="E56" s="2">
        <v>45674</v>
      </c>
      <c r="F56" t="s">
        <v>353</v>
      </c>
    </row>
    <row r="57" spans="2:6" x14ac:dyDescent="0.3">
      <c r="B57" t="s">
        <v>15</v>
      </c>
      <c r="C57" t="s">
        <v>257</v>
      </c>
      <c r="D57" t="s">
        <v>128</v>
      </c>
      <c r="E57" s="2">
        <v>45677</v>
      </c>
      <c r="F57" t="s">
        <v>353</v>
      </c>
    </row>
    <row r="58" spans="2:6" s="6" customFormat="1" x14ac:dyDescent="0.3">
      <c r="B58" s="6" t="s">
        <v>19</v>
      </c>
      <c r="C58" s="6" t="s">
        <v>261</v>
      </c>
      <c r="D58" s="6" t="s">
        <v>132</v>
      </c>
      <c r="E58" s="7">
        <v>45679</v>
      </c>
      <c r="F58" s="6" t="s">
        <v>353</v>
      </c>
    </row>
    <row r="59" spans="2:6" x14ac:dyDescent="0.3">
      <c r="B59" t="s">
        <v>65</v>
      </c>
      <c r="C59" t="s">
        <v>307</v>
      </c>
      <c r="D59" t="s">
        <v>178</v>
      </c>
      <c r="E59" s="2">
        <v>45679</v>
      </c>
      <c r="F59" t="s">
        <v>351</v>
      </c>
    </row>
    <row r="60" spans="2:6" x14ac:dyDescent="0.3">
      <c r="B60" t="s">
        <v>75</v>
      </c>
      <c r="C60" t="s">
        <v>317</v>
      </c>
      <c r="D60" t="s">
        <v>188</v>
      </c>
      <c r="E60" s="2">
        <v>45679</v>
      </c>
      <c r="F60" t="s">
        <v>351</v>
      </c>
    </row>
    <row r="61" spans="2:6" x14ac:dyDescent="0.3">
      <c r="B61" t="s">
        <v>6</v>
      </c>
      <c r="C61" t="s">
        <v>248</v>
      </c>
      <c r="D61" t="s">
        <v>119</v>
      </c>
      <c r="E61" s="2">
        <v>45680</v>
      </c>
      <c r="F61" t="s">
        <v>353</v>
      </c>
    </row>
    <row r="62" spans="2:6" x14ac:dyDescent="0.3">
      <c r="B62" t="s">
        <v>26</v>
      </c>
      <c r="C62" t="s">
        <v>268</v>
      </c>
      <c r="D62" t="s">
        <v>139</v>
      </c>
      <c r="E62" s="2">
        <v>45680</v>
      </c>
      <c r="F62" t="s">
        <v>351</v>
      </c>
    </row>
    <row r="63" spans="2:6" x14ac:dyDescent="0.3">
      <c r="B63" t="s">
        <v>27</v>
      </c>
      <c r="C63" t="s">
        <v>269</v>
      </c>
      <c r="D63" t="s">
        <v>140</v>
      </c>
      <c r="E63" s="2">
        <v>45680</v>
      </c>
      <c r="F63" t="s">
        <v>353</v>
      </c>
    </row>
    <row r="64" spans="2:6" x14ac:dyDescent="0.3">
      <c r="B64" t="s">
        <v>3</v>
      </c>
      <c r="C64" t="s">
        <v>245</v>
      </c>
      <c r="D64" t="s">
        <v>116</v>
      </c>
      <c r="E64" s="2">
        <v>45681</v>
      </c>
      <c r="F64" t="s">
        <v>353</v>
      </c>
    </row>
    <row r="65" spans="2:6" x14ac:dyDescent="0.3">
      <c r="B65" t="s">
        <v>33</v>
      </c>
      <c r="C65" t="s">
        <v>275</v>
      </c>
      <c r="D65" t="s">
        <v>146</v>
      </c>
      <c r="E65" s="2">
        <v>45681</v>
      </c>
      <c r="F65" t="s">
        <v>351</v>
      </c>
    </row>
    <row r="66" spans="2:6" x14ac:dyDescent="0.3">
      <c r="B66" t="s">
        <v>40</v>
      </c>
      <c r="C66" t="s">
        <v>282</v>
      </c>
      <c r="D66" t="s">
        <v>153</v>
      </c>
      <c r="E66" s="2">
        <v>45681</v>
      </c>
      <c r="F66" t="s">
        <v>353</v>
      </c>
    </row>
    <row r="67" spans="2:6" x14ac:dyDescent="0.3">
      <c r="B67" t="s">
        <v>61</v>
      </c>
      <c r="C67" t="s">
        <v>303</v>
      </c>
      <c r="D67" t="s">
        <v>174</v>
      </c>
      <c r="E67" s="2">
        <v>45681</v>
      </c>
      <c r="F67" t="s">
        <v>353</v>
      </c>
    </row>
    <row r="68" spans="2:6" x14ac:dyDescent="0.3">
      <c r="B68" t="s">
        <v>83</v>
      </c>
      <c r="C68" t="s">
        <v>326</v>
      </c>
      <c r="D68" t="s">
        <v>197</v>
      </c>
      <c r="E68" s="2">
        <v>45681</v>
      </c>
      <c r="F68" t="s">
        <v>353</v>
      </c>
    </row>
    <row r="69" spans="2:6" x14ac:dyDescent="0.3">
      <c r="B69" t="s">
        <v>100</v>
      </c>
      <c r="C69" t="s">
        <v>343</v>
      </c>
      <c r="D69" t="s">
        <v>214</v>
      </c>
      <c r="E69" s="2">
        <v>45681</v>
      </c>
      <c r="F69" t="s">
        <v>353</v>
      </c>
    </row>
    <row r="70" spans="2:6" x14ac:dyDescent="0.3">
      <c r="B70" t="s">
        <v>69</v>
      </c>
      <c r="C70" t="s">
        <v>311</v>
      </c>
      <c r="D70" t="s">
        <v>182</v>
      </c>
      <c r="E70" s="2">
        <v>45684</v>
      </c>
      <c r="F70" t="s">
        <v>353</v>
      </c>
    </row>
    <row r="71" spans="2:6" x14ac:dyDescent="0.3">
      <c r="B71" t="s">
        <v>18</v>
      </c>
      <c r="C71" t="s">
        <v>260</v>
      </c>
      <c r="D71" t="s">
        <v>131</v>
      </c>
      <c r="E71" s="2">
        <v>45685</v>
      </c>
      <c r="F71" t="s">
        <v>351</v>
      </c>
    </row>
    <row r="72" spans="2:6" x14ac:dyDescent="0.3">
      <c r="B72" t="s">
        <v>9</v>
      </c>
      <c r="C72" t="s">
        <v>251</v>
      </c>
      <c r="D72" t="s">
        <v>122</v>
      </c>
      <c r="E72" s="2">
        <v>45686</v>
      </c>
      <c r="F72" t="s">
        <v>351</v>
      </c>
    </row>
    <row r="73" spans="2:6" x14ac:dyDescent="0.3">
      <c r="B73" t="s">
        <v>43</v>
      </c>
      <c r="C73" t="s">
        <v>285</v>
      </c>
      <c r="D73" t="s">
        <v>156</v>
      </c>
      <c r="E73" s="2">
        <v>45686</v>
      </c>
      <c r="F73" t="s">
        <v>353</v>
      </c>
    </row>
    <row r="74" spans="2:6" s="6" customFormat="1" x14ac:dyDescent="0.3">
      <c r="B74" s="6" t="s">
        <v>50</v>
      </c>
      <c r="C74" s="6" t="s">
        <v>292</v>
      </c>
      <c r="D74" s="6" t="s">
        <v>163</v>
      </c>
      <c r="E74" s="7">
        <v>45686</v>
      </c>
      <c r="F74" s="6" t="s">
        <v>350</v>
      </c>
    </row>
    <row r="75" spans="2:6" x14ac:dyDescent="0.3">
      <c r="B75" t="s">
        <v>10</v>
      </c>
      <c r="C75" t="s">
        <v>252</v>
      </c>
      <c r="D75" t="s">
        <v>123</v>
      </c>
      <c r="E75" s="2">
        <v>45687</v>
      </c>
      <c r="F75" t="s">
        <v>353</v>
      </c>
    </row>
    <row r="76" spans="2:6" x14ac:dyDescent="0.3">
      <c r="B76" t="s">
        <v>13</v>
      </c>
      <c r="C76" t="s">
        <v>255</v>
      </c>
      <c r="D76" t="s">
        <v>126</v>
      </c>
      <c r="E76" s="2">
        <v>45687</v>
      </c>
      <c r="F76" t="s">
        <v>353</v>
      </c>
    </row>
    <row r="77" spans="2:6" x14ac:dyDescent="0.3">
      <c r="B77" t="s">
        <v>16</v>
      </c>
      <c r="C77" t="s">
        <v>258</v>
      </c>
      <c r="D77" t="s">
        <v>129</v>
      </c>
      <c r="E77" s="2">
        <v>45687</v>
      </c>
      <c r="F77" t="s">
        <v>353</v>
      </c>
    </row>
    <row r="78" spans="2:6" x14ac:dyDescent="0.3">
      <c r="B78" t="s">
        <v>23</v>
      </c>
      <c r="C78" t="s">
        <v>265</v>
      </c>
      <c r="D78" t="s">
        <v>136</v>
      </c>
      <c r="E78" s="2">
        <v>45687</v>
      </c>
      <c r="F78" t="s">
        <v>353</v>
      </c>
    </row>
    <row r="79" spans="2:6" x14ac:dyDescent="0.3">
      <c r="B79" t="s">
        <v>64</v>
      </c>
      <c r="C79" t="s">
        <v>306</v>
      </c>
      <c r="D79" t="s">
        <v>177</v>
      </c>
      <c r="E79" s="2">
        <v>45687</v>
      </c>
      <c r="F79" t="s">
        <v>353</v>
      </c>
    </row>
    <row r="80" spans="2:6" x14ac:dyDescent="0.3">
      <c r="B80" t="s">
        <v>76</v>
      </c>
      <c r="C80" t="s">
        <v>318</v>
      </c>
      <c r="D80" t="s">
        <v>189</v>
      </c>
      <c r="E80" s="2">
        <v>45687</v>
      </c>
      <c r="F80" t="s">
        <v>353</v>
      </c>
    </row>
    <row r="81" spans="2:6" x14ac:dyDescent="0.3">
      <c r="B81" t="s">
        <v>14</v>
      </c>
      <c r="C81" t="s">
        <v>256</v>
      </c>
      <c r="D81" t="s">
        <v>127</v>
      </c>
      <c r="E81" s="2">
        <v>45688</v>
      </c>
      <c r="F81" t="s">
        <v>353</v>
      </c>
    </row>
    <row r="82" spans="2:6" x14ac:dyDescent="0.3">
      <c r="B82" t="s">
        <v>24</v>
      </c>
      <c r="C82" t="s">
        <v>266</v>
      </c>
      <c r="D82" t="s">
        <v>137</v>
      </c>
      <c r="E82" s="2">
        <v>45688</v>
      </c>
      <c r="F82" t="s">
        <v>353</v>
      </c>
    </row>
    <row r="83" spans="2:6" x14ac:dyDescent="0.3">
      <c r="B83" t="s">
        <v>25</v>
      </c>
      <c r="C83" t="s">
        <v>267</v>
      </c>
      <c r="D83" t="s">
        <v>138</v>
      </c>
      <c r="E83" s="2">
        <v>45688</v>
      </c>
      <c r="F83" t="s">
        <v>353</v>
      </c>
    </row>
    <row r="84" spans="2:6" x14ac:dyDescent="0.3">
      <c r="B84" t="s">
        <v>32</v>
      </c>
      <c r="C84" t="s">
        <v>274</v>
      </c>
      <c r="D84" t="s">
        <v>145</v>
      </c>
      <c r="E84" s="2">
        <v>45688</v>
      </c>
      <c r="F84" t="s">
        <v>353</v>
      </c>
    </row>
    <row r="85" spans="2:6" x14ac:dyDescent="0.3">
      <c r="B85" t="s">
        <v>68</v>
      </c>
      <c r="C85" t="s">
        <v>310</v>
      </c>
      <c r="D85" t="s">
        <v>181</v>
      </c>
      <c r="E85" s="2">
        <v>45691</v>
      </c>
      <c r="F85" t="s">
        <v>353</v>
      </c>
    </row>
    <row r="86" spans="2:6" x14ac:dyDescent="0.3">
      <c r="B86" t="s">
        <v>79</v>
      </c>
      <c r="C86" t="s">
        <v>321</v>
      </c>
      <c r="D86" t="s">
        <v>192</v>
      </c>
      <c r="E86" s="2">
        <v>45691</v>
      </c>
      <c r="F86" t="s">
        <v>353</v>
      </c>
    </row>
    <row r="87" spans="2:6" x14ac:dyDescent="0.3">
      <c r="B87" t="s">
        <v>66</v>
      </c>
      <c r="C87" t="s">
        <v>308</v>
      </c>
      <c r="D87" t="s">
        <v>179</v>
      </c>
      <c r="E87" s="2">
        <v>45692</v>
      </c>
      <c r="F87" t="s">
        <v>351</v>
      </c>
    </row>
    <row r="88" spans="2:6" x14ac:dyDescent="0.3">
      <c r="B88" t="s">
        <v>80</v>
      </c>
      <c r="C88" t="s">
        <v>322</v>
      </c>
      <c r="D88" t="s">
        <v>193</v>
      </c>
      <c r="E88" s="2">
        <v>45692</v>
      </c>
      <c r="F88" t="s">
        <v>351</v>
      </c>
    </row>
    <row r="89" spans="2:6" x14ac:dyDescent="0.3">
      <c r="B89" t="s">
        <v>8</v>
      </c>
      <c r="C89" t="s">
        <v>250</v>
      </c>
      <c r="D89" t="s">
        <v>121</v>
      </c>
      <c r="E89" s="2">
        <v>45693</v>
      </c>
      <c r="F89" t="s">
        <v>353</v>
      </c>
    </row>
    <row r="90" spans="2:6" x14ac:dyDescent="0.3">
      <c r="B90" t="s">
        <v>86</v>
      </c>
      <c r="C90" t="s">
        <v>329</v>
      </c>
      <c r="D90" t="s">
        <v>200</v>
      </c>
      <c r="E90" s="2">
        <v>45693</v>
      </c>
      <c r="F90" t="s">
        <v>353</v>
      </c>
    </row>
    <row r="91" spans="2:6" x14ac:dyDescent="0.3">
      <c r="B91" t="s">
        <v>4</v>
      </c>
      <c r="C91" t="s">
        <v>246</v>
      </c>
      <c r="D91" t="s">
        <v>117</v>
      </c>
      <c r="E91" s="2">
        <v>45694</v>
      </c>
      <c r="F91" t="s">
        <v>353</v>
      </c>
    </row>
    <row r="92" spans="2:6" x14ac:dyDescent="0.3">
      <c r="B92" t="s">
        <v>56</v>
      </c>
      <c r="C92" t="s">
        <v>298</v>
      </c>
      <c r="D92" t="s">
        <v>169</v>
      </c>
      <c r="E92" s="2">
        <v>45694</v>
      </c>
      <c r="F92" t="s">
        <v>353</v>
      </c>
    </row>
    <row r="93" spans="2:6" x14ac:dyDescent="0.3">
      <c r="B93" t="s">
        <v>67</v>
      </c>
      <c r="C93" t="s">
        <v>309</v>
      </c>
      <c r="D93" t="s">
        <v>180</v>
      </c>
      <c r="E93" s="2">
        <v>45694</v>
      </c>
      <c r="F93" t="s">
        <v>353</v>
      </c>
    </row>
    <row r="94" spans="2:6" x14ac:dyDescent="0.3">
      <c r="B94" t="s">
        <v>87</v>
      </c>
      <c r="C94" t="s">
        <v>330</v>
      </c>
      <c r="D94" t="s">
        <v>201</v>
      </c>
      <c r="E94" s="2">
        <v>45694</v>
      </c>
      <c r="F94" t="s">
        <v>353</v>
      </c>
    </row>
    <row r="95" spans="2:6" x14ac:dyDescent="0.3">
      <c r="B95" t="s">
        <v>34</v>
      </c>
      <c r="C95" t="s">
        <v>276</v>
      </c>
      <c r="D95" t="s">
        <v>147</v>
      </c>
      <c r="E95" s="2">
        <v>45695</v>
      </c>
      <c r="F95" t="s">
        <v>353</v>
      </c>
    </row>
    <row r="96" spans="2:6" x14ac:dyDescent="0.3">
      <c r="B96" t="s">
        <v>39</v>
      </c>
      <c r="C96" t="s">
        <v>281</v>
      </c>
      <c r="D96" t="s">
        <v>152</v>
      </c>
      <c r="E96" s="2">
        <v>45701</v>
      </c>
      <c r="F96" t="s">
        <v>353</v>
      </c>
    </row>
    <row r="97" spans="2:6" x14ac:dyDescent="0.3">
      <c r="B97" t="s">
        <v>81</v>
      </c>
      <c r="C97" t="s">
        <v>323</v>
      </c>
      <c r="D97" t="s">
        <v>194</v>
      </c>
      <c r="E97" s="2">
        <v>45701</v>
      </c>
      <c r="F97" t="s">
        <v>353</v>
      </c>
    </row>
    <row r="98" spans="2:6" x14ac:dyDescent="0.3">
      <c r="B98" t="s">
        <v>5</v>
      </c>
      <c r="C98" t="s">
        <v>247</v>
      </c>
      <c r="D98" t="s">
        <v>118</v>
      </c>
      <c r="E98" s="2">
        <v>45702</v>
      </c>
      <c r="F98" t="s">
        <v>353</v>
      </c>
    </row>
    <row r="99" spans="2:6" x14ac:dyDescent="0.3">
      <c r="B99" t="s">
        <v>229</v>
      </c>
      <c r="C99" t="s">
        <v>324</v>
      </c>
      <c r="D99" t="s">
        <v>195</v>
      </c>
      <c r="E99" s="2">
        <v>45707</v>
      </c>
      <c r="F99" t="s">
        <v>353</v>
      </c>
    </row>
    <row r="100" spans="2:6" x14ac:dyDescent="0.3">
      <c r="B100" t="s">
        <v>22</v>
      </c>
      <c r="C100" t="s">
        <v>264</v>
      </c>
      <c r="D100" t="s">
        <v>135</v>
      </c>
      <c r="E100" s="2">
        <v>45709</v>
      </c>
      <c r="F100" t="s">
        <v>353</v>
      </c>
    </row>
    <row r="101" spans="2:6" x14ac:dyDescent="0.3">
      <c r="B101" t="s">
        <v>95</v>
      </c>
      <c r="C101" t="s">
        <v>338</v>
      </c>
      <c r="D101" t="s">
        <v>209</v>
      </c>
      <c r="E101" s="2">
        <v>45715</v>
      </c>
      <c r="F101" t="s">
        <v>353</v>
      </c>
    </row>
    <row r="102" spans="2:6" x14ac:dyDescent="0.3">
      <c r="B102" t="s">
        <v>82</v>
      </c>
      <c r="C102" t="s">
        <v>325</v>
      </c>
      <c r="D102" t="s">
        <v>196</v>
      </c>
      <c r="E102" s="2" t="s">
        <v>353</v>
      </c>
      <c r="F102" t="s">
        <v>353</v>
      </c>
    </row>
    <row r="103" spans="2:6" x14ac:dyDescent="0.3">
      <c r="B103" t="s">
        <v>85</v>
      </c>
      <c r="C103" t="s">
        <v>328</v>
      </c>
      <c r="D103" t="s">
        <v>199</v>
      </c>
      <c r="E103" s="2" t="s">
        <v>353</v>
      </c>
      <c r="F103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Eames</dc:creator>
  <cp:lastModifiedBy>Joseph Eames</cp:lastModifiedBy>
  <dcterms:created xsi:type="dcterms:W3CDTF">2024-10-23T00:01:05Z</dcterms:created>
  <dcterms:modified xsi:type="dcterms:W3CDTF">2024-11-14T01:16:05Z</dcterms:modified>
</cp:coreProperties>
</file>